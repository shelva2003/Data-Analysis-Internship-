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320" tabRatio="500" activeTab="2"/>
  </bookViews>
  <sheets>
    <sheet name="Dashboard" sheetId="1" r:id="rId1"/>
    <sheet name="Data" sheetId="2" r:id="rId2"/>
    <sheet name="Model" sheetId="3" r:id="rId3"/>
  </sheets>
  <definedNames>
    <definedName name="_xlnm.Print_Area" localSheetId="0">Dashboard!$A$1:$N$58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<sst xmlns="http://schemas.openxmlformats.org/spreadsheetml/2006/main" count="51" uniqueCount="46">
  <si>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>Sales Forecast Dashboard</t>
  </si>
  <si>
    <t>Linear trend + seasonal index model, back-tested on 6 held-out months</t>
  </si>
  <si>
    <t>Next 12-month forecast total</t>
  </si>
  <si>
    <t>Avg. monthly growth (trend)</t>
  </si>
  <si>
    <t>Back-test accuracy (MAPE)</t>
  </si>
  <si>
    <t>Strongest season</t>
  </si>
  <si>
    <t>Dec 2026 through the forecast horizon</t>
  </si>
  <si>
    <t>per month, full-history regression slope</t>
  </si>
  <si>
    <t>mean absolute % error, 6-month holdout</t>
  </si>
  <si>
    <t>highest seasonal index month, full fit</t>
  </si>
  <si>
    <t>Actual vs. model fit and forecast</t>
  </si>
  <si>
    <t>Seasonal pattern (full-history fit)</t>
  </si>
  <si>
    <t>Back-test detail (held-out months)</t>
  </si>
  <si>
    <t>Month</t>
  </si>
  <si>
    <t>Actual ($)</t>
  </si>
  <si>
    <t>Predicted ($)</t>
  </si>
  <si>
    <t>Abs % Error</t>
  </si>
  <si>
    <t>Historical Monthly Sales</t>
  </si>
  <si>
    <t>Source: company sales ledger (synthetic sample data for this exercise)</t>
  </si>
  <si>
    <t>Sales ($)</t>
  </si>
  <si>
    <t>Forecast Model — Linear Trend + Seasonal Index</t>
  </si>
  <si>
    <t>Additive decomposition: Forecast = Trend + Seasonal Index. Fitted twice — once on months 1-30 for an honest back-test, once on all 36 months for the live forecast.</t>
  </si>
  <si>
    <t>Regression coefficients</t>
  </si>
  <si>
    <t>Seasonal index by month</t>
  </si>
  <si>
    <t>Fit window</t>
  </si>
  <si>
    <t>Slope ($/mo)</t>
  </si>
  <si>
    <t>Intercept ($)</t>
  </si>
  <si>
    <t>Mo.#</t>
  </si>
  <si>
    <t>Seas idx (train)</t>
  </si>
  <si>
    <t>Seas idx (full)</t>
  </si>
  <si>
    <t>Train (months 1-30)</t>
  </si>
  <si>
    <t>Full history (months 1-36)</t>
  </si>
  <si>
    <t>Back-test accuracy (months 31-36, held out)</t>
  </si>
  <si>
    <t>MAE ($)</t>
  </si>
  <si>
    <t>RMSE ($)</t>
  </si>
  <si>
    <t>MAPE (%)</t>
  </si>
  <si>
    <t>Center adj.</t>
  </si>
  <si>
    <t>Monthly model table</t>
  </si>
  <si>
    <t>t</t>
  </si>
  <si>
    <t>Trend (train fit)</t>
  </si>
  <si>
    <t>Trend (full fit)</t>
  </si>
  <si>
    <t>Seasonal idx (train)</t>
  </si>
  <si>
    <t>Seasonal idx (full)</t>
  </si>
  <si>
    <t>Back-test pred.</t>
  </si>
  <si>
    <t>Forecast (production)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</si>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</sst>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$&quot;#,##0.0"/>
    <numFmt numFmtId="177" formatCode="&quot;$&quot;#,##0"/>
    <numFmt numFmtId="178" formatCode="0.0%"/>
  </numFmts>
  <fonts count="37">
    <font>
      <sz val="11"/>
      <color theme="1"/>
      <name val="Calibri"/>
      <charset val="1"/>
    </font>
    <font>
      <b/>
      <sz val="14"/>
      <color rgb="FF1F2A38"/>
      <name val="Arial"/>
      <charset val="1"/>
    </font>
    <font>
      <i/>
      <sz val="9"/>
      <color rgb="FF808080"/>
      <name val="Arial"/>
      <charset val="1"/>
    </font>
    <font>
      <b/>
      <sz val="11"/>
      <color rgb="FF1F2A38"/>
      <name val="Arial"/>
      <charset val="1"/>
    </font>
    <font>
      <b/>
      <sz val="9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sz val="10"/>
      <name val="Arial"/>
      <charset val="1"/>
    </font>
    <font>
      <b/>
      <sz val="10"/>
      <color rgb="FFC9942E"/>
      <name val="Arial"/>
      <charset val="1"/>
    </font>
    <font>
      <i/>
      <sz val="9"/>
      <name val="Arial"/>
      <charset val="1"/>
    </font>
    <font>
      <sz val="10"/>
      <color rgb="FF0000FF"/>
      <name val="Arial"/>
      <charset val="1"/>
    </font>
    <font>
      <b/>
      <sz val="20"/>
      <color rgb="FF1F2A38"/>
      <name val="Arial"/>
      <charset val="1"/>
    </font>
    <font>
      <i/>
      <sz val="10"/>
      <color rgb="FF808080"/>
      <name val="Arial"/>
      <charset val="1"/>
    </font>
    <font>
      <sz val="9"/>
      <color rgb="FF8B98A5"/>
      <name val="Arial"/>
      <charset val="1"/>
    </font>
    <font>
      <i/>
      <sz val="8.5"/>
      <color rgb="FF8B98A5"/>
      <name val="Arial"/>
      <charset val="1"/>
    </font>
    <font>
      <b/>
      <sz val="12"/>
      <color rgb="FF1F2A38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2F7A72"/>
        <bgColor rgb="FF008080"/>
      </patternFill>
    </fill>
    <fill>
      <patternFill patternType="solid">
        <fgColor rgb="FF1F2A38"/>
        <bgColor rgb="FF3333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 applyBorder="0" applyAlignment="0" applyProtection="0"/>
    <xf numFmtId="44" fontId="16" fillId="0" borderId="0" applyBorder="0" applyAlignment="0" applyProtection="0"/>
    <xf numFmtId="9" fontId="16" fillId="0" borderId="0" applyBorder="0" applyAlignment="0" applyProtection="0"/>
    <xf numFmtId="41" fontId="16" fillId="0" borderId="0" applyBorder="0" applyAlignment="0" applyProtection="0"/>
    <xf numFmtId="42" fontId="16" fillId="0" borderId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7" fillId="7" borderId="6" applyNumberFormat="0" applyAlignment="0" applyProtection="0">
      <alignment vertical="center"/>
    </xf>
    <xf numFmtId="0" fontId="28" fillId="7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Border="1" applyAlignment="1"/>
    <xf numFmtId="0" fontId="3" fillId="0" borderId="0" xfId="0" applyFont="1" applyAlignment="1"/>
    <xf numFmtId="0" fontId="3" fillId="0" borderId="0" xfId="0" applyFont="1" applyBorder="1" applyAlignment="1"/>
    <xf numFmtId="0" fontId="4" fillId="2" borderId="1" xfId="0" applyFont="1" applyFill="1" applyBorder="1" applyAlignment="1"/>
    <xf numFmtId="0" fontId="5" fillId="3" borderId="1" xfId="0" applyFont="1" applyFill="1" applyBorder="1" applyAlignment="1">
      <alignment horizontal="center" wrapText="1"/>
    </xf>
    <xf numFmtId="0" fontId="6" fillId="0" borderId="1" xfId="0" applyFont="1" applyBorder="1" applyAlignment="1"/>
    <xf numFmtId="176" fontId="4" fillId="0" borderId="1" xfId="0" applyNumberFormat="1" applyFont="1" applyBorder="1" applyAlignment="1"/>
    <xf numFmtId="0" fontId="6" fillId="0" borderId="1" xfId="0" applyFont="1" applyBorder="1" applyAlignment="1">
      <alignment horizontal="center"/>
    </xf>
    <xf numFmtId="177" fontId="6" fillId="0" borderId="1" xfId="0" applyNumberFormat="1" applyFont="1" applyBorder="1" applyAlignment="1"/>
    <xf numFmtId="0" fontId="7" fillId="0" borderId="1" xfId="0" applyFont="1" applyBorder="1" applyAlignment="1"/>
    <xf numFmtId="177" fontId="8" fillId="0" borderId="1" xfId="0" applyNumberFormat="1" applyFont="1" applyBorder="1" applyAlignment="1"/>
    <xf numFmtId="178" fontId="8" fillId="0" borderId="1" xfId="0" applyNumberFormat="1" applyFont="1" applyBorder="1" applyAlignment="1"/>
    <xf numFmtId="0" fontId="9" fillId="0" borderId="1" xfId="0" applyFont="1" applyBorder="1" applyAlignment="1"/>
    <xf numFmtId="177" fontId="9" fillId="0" borderId="1" xfId="0" applyNumberFormat="1" applyFont="1" applyBorder="1" applyAlignment="1"/>
    <xf numFmtId="0" fontId="5" fillId="4" borderId="1" xfId="0" applyFont="1" applyFill="1" applyBorder="1" applyAlignment="1">
      <alignment horizontal="center" wrapText="1"/>
    </xf>
    <xf numFmtId="17" fontId="6" fillId="0" borderId="1" xfId="0" applyNumberFormat="1" applyFont="1" applyBorder="1" applyAlignment="1"/>
    <xf numFmtId="178" fontId="6" fillId="0" borderId="1" xfId="0" applyNumberFormat="1" applyFont="1" applyBorder="1" applyAlignment="1"/>
    <xf numFmtId="0" fontId="2" fillId="0" borderId="0" xfId="0" applyFont="1" applyAlignment="1"/>
    <xf numFmtId="17" fontId="7" fillId="0" borderId="1" xfId="0" applyNumberFormat="1" applyFont="1" applyBorder="1" applyAlignment="1"/>
    <xf numFmtId="177" fontId="10" fillId="0" borderId="1" xfId="0" applyNumberFormat="1" applyFont="1" applyBorder="1" applyAlignment="1"/>
    <xf numFmtId="0" fontId="11" fillId="0" borderId="0" xfId="0" applyFont="1"/>
    <xf numFmtId="0" fontId="12" fillId="0" borderId="0" xfId="0" applyFont="1" applyBorder="1"/>
    <xf numFmtId="0" fontId="13" fillId="2" borderId="1" xfId="0" applyFont="1" applyFill="1" applyBorder="1"/>
    <xf numFmtId="177" fontId="11" fillId="2" borderId="1" xfId="0" applyNumberFormat="1" applyFont="1" applyFill="1" applyBorder="1"/>
    <xf numFmtId="178" fontId="11" fillId="2" borderId="1" xfId="0" applyNumberFormat="1" applyFont="1" applyFill="1" applyBorder="1"/>
    <xf numFmtId="0" fontId="11" fillId="2" borderId="1" xfId="0" applyFont="1" applyFill="1" applyBorder="1"/>
    <xf numFmtId="0" fontId="14" fillId="2" borderId="1" xfId="0" applyFont="1" applyFill="1" applyBorder="1"/>
    <xf numFmtId="0" fontId="15" fillId="0" borderId="0" xfId="0" applyFont="1"/>
    <xf numFmtId="0" fontId="5" fillId="4" borderId="1" xfId="0" applyFont="1" applyFill="1" applyBorder="1" applyAlignment="1">
      <alignment horizontal="center"/>
    </xf>
    <xf numFmtId="17" fontId="6" fillId="0" borderId="1" xfId="0" applyNumberFormat="1" applyFont="1" applyBorder="1"/>
    <xf numFmtId="177" fontId="6" fillId="0" borderId="1" xfId="0" applyNumberFormat="1" applyFont="1" applyBorder="1"/>
    <xf numFmtId="178" fontId="6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3B3B3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C9942E"/>
      <rgbColor rgb="00FF6600"/>
      <rgbColor rgb="00666699"/>
      <rgbColor rgb="008B98A5"/>
      <rgbColor rgb="00003366"/>
      <rgbColor rgb="002F7A72"/>
      <rgbColor rgb="00003300"/>
      <rgbColor rgb="00333300"/>
      <rgbColor rgb="00993300"/>
      <rgbColor rgb="00993366"/>
      <rgbColor rgb="00333399"/>
      <rgbColor rgb="001F2A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Model!$C$21</c:f>
              <c:strCache>
                <c:ptCount val="1"/>
                <c:pt idx="0">
                  <c:v>Actual ($)</c:v>
                </c:pt>
              </c:strCache>
            </c:strRef>
          </c:tx>
          <c:spPr>
            <a:ln w="21960" cap="rnd" cmpd="sng" algn="ctr">
              <a:solidFill>
                <a:srgbClr val="2F7A72"/>
              </a:solidFill>
              <a:prstDash val="solid"/>
              <a:round/>
            </a:ln>
          </c:spPr>
          <c:marker>
            <c:symbol val="circle"/>
            <c:size val="4"/>
            <c:spPr>
              <a:solidFill>
                <a:srgbClr val="2F7A7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Model!$A$22:$A$69</c:f>
              <c:numCache>
                <c:formatCode>mmm\-yy</c:formatCode>
                <c:ptCount val="48"/>
                <c:pt idx="0" c:formatCode="mmm\-yy">
                  <c:v>44927</c:v>
                </c:pt>
                <c:pt idx="1" c:formatCode="mmm\-yy">
                  <c:v>44958</c:v>
                </c:pt>
                <c:pt idx="2" c:formatCode="mmm\-yy">
                  <c:v>44986</c:v>
                </c:pt>
                <c:pt idx="3" c:formatCode="mmm\-yy">
                  <c:v>45017</c:v>
                </c:pt>
                <c:pt idx="4" c:formatCode="mmm\-yy">
                  <c:v>45047</c:v>
                </c:pt>
                <c:pt idx="5" c:formatCode="mmm\-yy">
                  <c:v>45078</c:v>
                </c:pt>
                <c:pt idx="6" c:formatCode="mmm\-yy">
                  <c:v>45108</c:v>
                </c:pt>
                <c:pt idx="7" c:formatCode="mmm\-yy">
                  <c:v>45139</c:v>
                </c:pt>
                <c:pt idx="8" c:formatCode="mmm\-yy">
                  <c:v>45170</c:v>
                </c:pt>
                <c:pt idx="9" c:formatCode="mmm\-yy">
                  <c:v>45200</c:v>
                </c:pt>
                <c:pt idx="10" c:formatCode="mmm\-yy">
                  <c:v>45231</c:v>
                </c:pt>
                <c:pt idx="11" c:formatCode="mmm\-yy">
                  <c:v>45261</c:v>
                </c:pt>
                <c:pt idx="12" c:formatCode="mmm\-yy">
                  <c:v>45292</c:v>
                </c:pt>
                <c:pt idx="13" c:formatCode="mmm\-yy">
                  <c:v>45323</c:v>
                </c:pt>
                <c:pt idx="14" c:formatCode="mmm\-yy">
                  <c:v>45352</c:v>
                </c:pt>
                <c:pt idx="15" c:formatCode="mmm\-yy">
                  <c:v>45383</c:v>
                </c:pt>
                <c:pt idx="16" c:formatCode="mmm\-yy">
                  <c:v>45413</c:v>
                </c:pt>
                <c:pt idx="17" c:formatCode="mmm\-yy">
                  <c:v>45444</c:v>
                </c:pt>
                <c:pt idx="18" c:formatCode="mmm\-yy">
                  <c:v>45474</c:v>
                </c:pt>
                <c:pt idx="19" c:formatCode="mmm\-yy">
                  <c:v>45505</c:v>
                </c:pt>
                <c:pt idx="20" c:formatCode="mmm\-yy">
                  <c:v>45536</c:v>
                </c:pt>
                <c:pt idx="21" c:formatCode="mmm\-yy">
                  <c:v>45566</c:v>
                </c:pt>
                <c:pt idx="22" c:formatCode="mmm\-yy">
                  <c:v>45597</c:v>
                </c:pt>
                <c:pt idx="23" c:formatCode="mmm\-yy">
                  <c:v>45627</c:v>
                </c:pt>
                <c:pt idx="24" c:formatCode="mmm\-yy">
                  <c:v>45658</c:v>
                </c:pt>
                <c:pt idx="25" c:formatCode="mmm\-yy">
                  <c:v>45689</c:v>
                </c:pt>
                <c:pt idx="26" c:formatCode="mmm\-yy">
                  <c:v>45717</c:v>
                </c:pt>
                <c:pt idx="27" c:formatCode="mmm\-yy">
                  <c:v>45748</c:v>
                </c:pt>
                <c:pt idx="28" c:formatCode="mmm\-yy">
                  <c:v>45778</c:v>
                </c:pt>
                <c:pt idx="29" c:formatCode="mmm\-yy">
                  <c:v>45809</c:v>
                </c:pt>
                <c:pt idx="30" c:formatCode="mmm\-yy">
                  <c:v>45839</c:v>
                </c:pt>
                <c:pt idx="31" c:formatCode="mmm\-yy">
                  <c:v>45870</c:v>
                </c:pt>
                <c:pt idx="32" c:formatCode="mmm\-yy">
                  <c:v>45901</c:v>
                </c:pt>
                <c:pt idx="33" c:formatCode="mmm\-yy">
                  <c:v>45931</c:v>
                </c:pt>
                <c:pt idx="34" c:formatCode="mmm\-yy">
                  <c:v>45962</c:v>
                </c:pt>
                <c:pt idx="35" c:formatCode="mmm\-yy">
                  <c:v>45992</c:v>
                </c:pt>
                <c:pt idx="36" c:formatCode="mmm\-yy">
                  <c:v>46023</c:v>
                </c:pt>
                <c:pt idx="37" c:formatCode="mmm\-yy">
                  <c:v>46054</c:v>
                </c:pt>
                <c:pt idx="38" c:formatCode="mmm\-yy">
                  <c:v>46082</c:v>
                </c:pt>
                <c:pt idx="39" c:formatCode="mmm\-yy">
                  <c:v>46113</c:v>
                </c:pt>
                <c:pt idx="40" c:formatCode="mmm\-yy">
                  <c:v>46143</c:v>
                </c:pt>
                <c:pt idx="41" c:formatCode="mmm\-yy">
                  <c:v>46174</c:v>
                </c:pt>
                <c:pt idx="42" c:formatCode="mmm\-yy">
                  <c:v>46204</c:v>
                </c:pt>
                <c:pt idx="43" c:formatCode="mmm\-yy">
                  <c:v>46235</c:v>
                </c:pt>
                <c:pt idx="44" c:formatCode="mmm\-yy">
                  <c:v>46266</c:v>
                </c:pt>
                <c:pt idx="45" c:formatCode="mmm\-yy">
                  <c:v>46296</c:v>
                </c:pt>
                <c:pt idx="46" c:formatCode="mmm\-yy">
                  <c:v>46327</c:v>
                </c:pt>
                <c:pt idx="47" c:formatCode="mmm\-yy">
                  <c:v>46357</c:v>
                </c:pt>
              </c:numCache>
            </c:numRef>
          </c:cat>
          <c:val>
            <c:numRef>
              <c:f>Model!$C$22:$C$69</c:f>
              <c:numCache>
                <c:formatCode>"$"#,##0</c:formatCode>
                <c:ptCount val="48"/>
                <c:pt idx="0">
                  <c:v>41310</c:v>
                </c:pt>
                <c:pt idx="1">
                  <c:v>40187</c:v>
                </c:pt>
                <c:pt idx="2">
                  <c:v>43186</c:v>
                </c:pt>
                <c:pt idx="3">
                  <c:v>45248</c:v>
                </c:pt>
                <c:pt idx="4">
                  <c:v>45282</c:v>
                </c:pt>
                <c:pt idx="5">
                  <c:v>47302</c:v>
                </c:pt>
                <c:pt idx="6">
                  <c:v>48649</c:v>
                </c:pt>
                <c:pt idx="7">
                  <c:v>46470</c:v>
                </c:pt>
                <c:pt idx="8">
                  <c:v>48769</c:v>
                </c:pt>
                <c:pt idx="9">
                  <c:v>50961</c:v>
                </c:pt>
                <c:pt idx="10">
                  <c:v>53662</c:v>
                </c:pt>
                <c:pt idx="11">
                  <c:v>56511</c:v>
                </c:pt>
                <c:pt idx="12">
                  <c:v>47806</c:v>
                </c:pt>
                <c:pt idx="13">
                  <c:v>48213</c:v>
                </c:pt>
                <c:pt idx="14">
                  <c:v>50683</c:v>
                </c:pt>
                <c:pt idx="15">
                  <c:v>51001</c:v>
                </c:pt>
                <c:pt idx="16">
                  <c:v>54560</c:v>
                </c:pt>
                <c:pt idx="17">
                  <c:v>55236</c:v>
                </c:pt>
                <c:pt idx="18">
                  <c:v>56752</c:v>
                </c:pt>
                <c:pt idx="19">
                  <c:v>54521</c:v>
                </c:pt>
                <c:pt idx="20">
                  <c:v>57266</c:v>
                </c:pt>
                <c:pt idx="21">
                  <c:v>58270</c:v>
                </c:pt>
                <c:pt idx="22">
                  <c:v>61724</c:v>
                </c:pt>
                <c:pt idx="23">
                  <c:v>66732</c:v>
                </c:pt>
                <c:pt idx="24">
                  <c:v>55000</c:v>
                </c:pt>
                <c:pt idx="25">
                  <c:v>54704</c:v>
                </c:pt>
                <c:pt idx="26">
                  <c:v>58304</c:v>
                </c:pt>
                <c:pt idx="27">
                  <c:v>57883</c:v>
                </c:pt>
                <c:pt idx="28">
                  <c:v>62904</c:v>
                </c:pt>
                <c:pt idx="29">
                  <c:v>62442</c:v>
                </c:pt>
                <c:pt idx="30">
                  <c:v>63433</c:v>
                </c:pt>
                <c:pt idx="31">
                  <c:v>65180</c:v>
                </c:pt>
                <c:pt idx="32">
                  <c:v>61434</c:v>
                </c:pt>
                <c:pt idx="33">
                  <c:v>66489</c:v>
                </c:pt>
                <c:pt idx="34">
                  <c:v>67679</c:v>
                </c:pt>
                <c:pt idx="35">
                  <c:v>71572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Model!$J$21</c:f>
              <c:strCache>
                <c:ptCount val="1"/>
                <c:pt idx="0">
                  <c:v>Forecast (production)</c:v>
                </c:pt>
              </c:strCache>
            </c:strRef>
          </c:tx>
          <c:spPr>
            <a:ln w="20160" cap="rnd" cmpd="sng" algn="ctr">
              <a:solidFill>
                <a:srgbClr val="C9942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Model!$A$22:$A$69</c:f>
              <c:numCache>
                <c:formatCode>mmm\-yy</c:formatCode>
                <c:ptCount val="48"/>
                <c:pt idx="0" c:formatCode="mmm\-yy">
                  <c:v>44927</c:v>
                </c:pt>
                <c:pt idx="1" c:formatCode="mmm\-yy">
                  <c:v>44958</c:v>
                </c:pt>
                <c:pt idx="2" c:formatCode="mmm\-yy">
                  <c:v>44986</c:v>
                </c:pt>
                <c:pt idx="3" c:formatCode="mmm\-yy">
                  <c:v>45017</c:v>
                </c:pt>
                <c:pt idx="4" c:formatCode="mmm\-yy">
                  <c:v>45047</c:v>
                </c:pt>
                <c:pt idx="5" c:formatCode="mmm\-yy">
                  <c:v>45078</c:v>
                </c:pt>
                <c:pt idx="6" c:formatCode="mmm\-yy">
                  <c:v>45108</c:v>
                </c:pt>
                <c:pt idx="7" c:formatCode="mmm\-yy">
                  <c:v>45139</c:v>
                </c:pt>
                <c:pt idx="8" c:formatCode="mmm\-yy">
                  <c:v>45170</c:v>
                </c:pt>
                <c:pt idx="9" c:formatCode="mmm\-yy">
                  <c:v>45200</c:v>
                </c:pt>
                <c:pt idx="10" c:formatCode="mmm\-yy">
                  <c:v>45231</c:v>
                </c:pt>
                <c:pt idx="11" c:formatCode="mmm\-yy">
                  <c:v>45261</c:v>
                </c:pt>
                <c:pt idx="12" c:formatCode="mmm\-yy">
                  <c:v>45292</c:v>
                </c:pt>
                <c:pt idx="13" c:formatCode="mmm\-yy">
                  <c:v>45323</c:v>
                </c:pt>
                <c:pt idx="14" c:formatCode="mmm\-yy">
                  <c:v>45352</c:v>
                </c:pt>
                <c:pt idx="15" c:formatCode="mmm\-yy">
                  <c:v>45383</c:v>
                </c:pt>
                <c:pt idx="16" c:formatCode="mmm\-yy">
                  <c:v>45413</c:v>
                </c:pt>
                <c:pt idx="17" c:formatCode="mmm\-yy">
                  <c:v>45444</c:v>
                </c:pt>
                <c:pt idx="18" c:formatCode="mmm\-yy">
                  <c:v>45474</c:v>
                </c:pt>
                <c:pt idx="19" c:formatCode="mmm\-yy">
                  <c:v>45505</c:v>
                </c:pt>
                <c:pt idx="20" c:formatCode="mmm\-yy">
                  <c:v>45536</c:v>
                </c:pt>
                <c:pt idx="21" c:formatCode="mmm\-yy">
                  <c:v>45566</c:v>
                </c:pt>
                <c:pt idx="22" c:formatCode="mmm\-yy">
                  <c:v>45597</c:v>
                </c:pt>
                <c:pt idx="23" c:formatCode="mmm\-yy">
                  <c:v>45627</c:v>
                </c:pt>
                <c:pt idx="24" c:formatCode="mmm\-yy">
                  <c:v>45658</c:v>
                </c:pt>
                <c:pt idx="25" c:formatCode="mmm\-yy">
                  <c:v>45689</c:v>
                </c:pt>
                <c:pt idx="26" c:formatCode="mmm\-yy">
                  <c:v>45717</c:v>
                </c:pt>
                <c:pt idx="27" c:formatCode="mmm\-yy">
                  <c:v>45748</c:v>
                </c:pt>
                <c:pt idx="28" c:formatCode="mmm\-yy">
                  <c:v>45778</c:v>
                </c:pt>
                <c:pt idx="29" c:formatCode="mmm\-yy">
                  <c:v>45809</c:v>
                </c:pt>
                <c:pt idx="30" c:formatCode="mmm\-yy">
                  <c:v>45839</c:v>
                </c:pt>
                <c:pt idx="31" c:formatCode="mmm\-yy">
                  <c:v>45870</c:v>
                </c:pt>
                <c:pt idx="32" c:formatCode="mmm\-yy">
                  <c:v>45901</c:v>
                </c:pt>
                <c:pt idx="33" c:formatCode="mmm\-yy">
                  <c:v>45931</c:v>
                </c:pt>
                <c:pt idx="34" c:formatCode="mmm\-yy">
                  <c:v>45962</c:v>
                </c:pt>
                <c:pt idx="35" c:formatCode="mmm\-yy">
                  <c:v>45992</c:v>
                </c:pt>
                <c:pt idx="36" c:formatCode="mmm\-yy">
                  <c:v>46023</c:v>
                </c:pt>
                <c:pt idx="37" c:formatCode="mmm\-yy">
                  <c:v>46054</c:v>
                </c:pt>
                <c:pt idx="38" c:formatCode="mmm\-yy">
                  <c:v>46082</c:v>
                </c:pt>
                <c:pt idx="39" c:formatCode="mmm\-yy">
                  <c:v>46113</c:v>
                </c:pt>
                <c:pt idx="40" c:formatCode="mmm\-yy">
                  <c:v>46143</c:v>
                </c:pt>
                <c:pt idx="41" c:formatCode="mmm\-yy">
                  <c:v>46174</c:v>
                </c:pt>
                <c:pt idx="42" c:formatCode="mmm\-yy">
                  <c:v>46204</c:v>
                </c:pt>
                <c:pt idx="43" c:formatCode="mmm\-yy">
                  <c:v>46235</c:v>
                </c:pt>
                <c:pt idx="44" c:formatCode="mmm\-yy">
                  <c:v>46266</c:v>
                </c:pt>
                <c:pt idx="45" c:formatCode="mmm\-yy">
                  <c:v>46296</c:v>
                </c:pt>
                <c:pt idx="46" c:formatCode="mmm\-yy">
                  <c:v>46327</c:v>
                </c:pt>
                <c:pt idx="47" c:formatCode="mmm\-yy">
                  <c:v>46357</c:v>
                </c:pt>
              </c:numCache>
            </c:numRef>
          </c:cat>
          <c:val>
            <c:numRef>
              <c:f>Model!$J$22:$J$69</c:f>
              <c:numCache>
                <c:formatCode>"$"#,##0</c:formatCode>
                <c:ptCount val="48"/>
                <c:pt idx="0">
                  <c:v>39589.757014157</c:v>
                </c:pt>
                <c:pt idx="1">
                  <c:v>39252.4236808237</c:v>
                </c:pt>
                <c:pt idx="2">
                  <c:v>42275.4236808237</c:v>
                </c:pt>
                <c:pt idx="3">
                  <c:v>42928.4236808237</c:v>
                </c:pt>
                <c:pt idx="4">
                  <c:v>45799.757014157</c:v>
                </c:pt>
                <c:pt idx="5">
                  <c:v>46544.4236808237</c:v>
                </c:pt>
                <c:pt idx="6">
                  <c:v>47829.0903474903</c:v>
                </c:pt>
                <c:pt idx="7">
                  <c:v>46941.4236808237</c:v>
                </c:pt>
                <c:pt idx="8">
                  <c:v>47374.0903474903</c:v>
                </c:pt>
                <c:pt idx="9">
                  <c:v>50124.4236808237</c:v>
                </c:pt>
                <c:pt idx="10">
                  <c:v>52572.757014157</c:v>
                </c:pt>
                <c:pt idx="11">
                  <c:v>56489.4236808237</c:v>
                </c:pt>
                <c:pt idx="12">
                  <c:v>48038.6666666667</c:v>
                </c:pt>
                <c:pt idx="13">
                  <c:v>47701.3333333333</c:v>
                </c:pt>
                <c:pt idx="14">
                  <c:v>50724.3333333333</c:v>
                </c:pt>
                <c:pt idx="15">
                  <c:v>51377.3333333333</c:v>
                </c:pt>
                <c:pt idx="16">
                  <c:v>54248.6666666667</c:v>
                </c:pt>
                <c:pt idx="17">
                  <c:v>54993.3333333333</c:v>
                </c:pt>
                <c:pt idx="18">
                  <c:v>56278</c:v>
                </c:pt>
                <c:pt idx="19">
                  <c:v>55390.3333333333</c:v>
                </c:pt>
                <c:pt idx="20">
                  <c:v>55823</c:v>
                </c:pt>
                <c:pt idx="21">
                  <c:v>58573.3333333333</c:v>
                </c:pt>
                <c:pt idx="22">
                  <c:v>61021.6666666667</c:v>
                </c:pt>
                <c:pt idx="23">
                  <c:v>64938.3333333333</c:v>
                </c:pt>
                <c:pt idx="24">
                  <c:v>56487.5763191763</c:v>
                </c:pt>
                <c:pt idx="25">
                  <c:v>56150.242985843</c:v>
                </c:pt>
                <c:pt idx="26">
                  <c:v>59173.242985843</c:v>
                </c:pt>
                <c:pt idx="27">
                  <c:v>59826.242985843</c:v>
                </c:pt>
                <c:pt idx="28">
                  <c:v>62697.5763191763</c:v>
                </c:pt>
                <c:pt idx="29">
                  <c:v>63442.242985843</c:v>
                </c:pt>
                <c:pt idx="30">
                  <c:v>64726.9096525097</c:v>
                </c:pt>
                <c:pt idx="31">
                  <c:v>63839.242985843</c:v>
                </c:pt>
                <c:pt idx="32">
                  <c:v>64271.9096525097</c:v>
                </c:pt>
                <c:pt idx="33">
                  <c:v>67022.242985843</c:v>
                </c:pt>
                <c:pt idx="34">
                  <c:v>69470.5763191763</c:v>
                </c:pt>
                <c:pt idx="35">
                  <c:v>73387.242985843</c:v>
                </c:pt>
                <c:pt idx="36">
                  <c:v>64936.485971686</c:v>
                </c:pt>
                <c:pt idx="37">
                  <c:v>64599.1526383526</c:v>
                </c:pt>
                <c:pt idx="38">
                  <c:v>67622.1526383527</c:v>
                </c:pt>
                <c:pt idx="39">
                  <c:v>68275.1526383527</c:v>
                </c:pt>
                <c:pt idx="40">
                  <c:v>71146.485971686</c:v>
                </c:pt>
                <c:pt idx="41">
                  <c:v>71891.1526383526</c:v>
                </c:pt>
                <c:pt idx="42">
                  <c:v>73175.8193050193</c:v>
                </c:pt>
                <c:pt idx="43">
                  <c:v>72288.1526383527</c:v>
                </c:pt>
                <c:pt idx="44">
                  <c:v>72720.8193050193</c:v>
                </c:pt>
                <c:pt idx="45">
                  <c:v>75471.1526383527</c:v>
                </c:pt>
                <c:pt idx="46">
                  <c:v>77919.485971686</c:v>
                </c:pt>
                <c:pt idx="47">
                  <c:v>81836.1526383526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1"/>
        <c:smooth val="0"/>
        <c:axId val="51237098"/>
        <c:axId val="44839974"/>
      </c:lineChart>
      <c:dateAx>
        <c:axId val="5123709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Month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mmm\-yy" sourceLinked="0"/>
        <c:majorTickMark val="none"/>
        <c:minorTickMark val="none"/>
        <c:tickLblPos val="low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4839974"/>
        <c:crosses val="autoZero"/>
        <c:auto val="1"/>
        <c:lblOffset val="100"/>
        <c:baseTimeUnit val="months"/>
      </c:dateAx>
      <c:valAx>
        <c:axId val="44839974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Sales ($)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&quot;$&quot;#,##0" sourceLinked="1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12370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43fa5d4-ffd7-4b20-ab7c-f1849789d132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Model!$P$5</c:f>
              <c:strCache>
                <c:ptCount val="1"/>
                <c:pt idx="0">
                  <c:v>Seas idx (full)</c:v>
                </c:pt>
              </c:strCache>
            </c:strRef>
          </c:tx>
          <c:spPr>
            <a:solidFill>
              <a:srgbClr val="2F7A7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Model!$N$6:$N$17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Model!$P$6:$P$17</c:f>
              <c:numCache>
                <c:formatCode>"$"#,##0</c:formatCode>
                <c:ptCount val="12"/>
                <c:pt idx="0">
                  <c:v>-3014.61085371085</c:v>
                </c:pt>
                <c:pt idx="1">
                  <c:v>-4056.01999141999</c:v>
                </c:pt>
                <c:pt idx="2">
                  <c:v>-1737.09579579579</c:v>
                </c:pt>
                <c:pt idx="3">
                  <c:v>-1788.1716001716</c:v>
                </c:pt>
                <c:pt idx="4">
                  <c:v>379.08592878592</c:v>
                </c:pt>
                <c:pt idx="5">
                  <c:v>419.676791076781</c:v>
                </c:pt>
                <c:pt idx="6">
                  <c:v>1000.26765336765</c:v>
                </c:pt>
                <c:pt idx="7">
                  <c:v>-591.474817674818</c:v>
                </c:pt>
                <c:pt idx="8">
                  <c:v>-862.883955383957</c:v>
                </c:pt>
                <c:pt idx="9">
                  <c:v>1183.37357357358</c:v>
                </c:pt>
                <c:pt idx="10">
                  <c:v>2927.6311025311</c:v>
                </c:pt>
                <c:pt idx="11">
                  <c:v>6140.22196482196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40"/>
        <c:overlap val="0"/>
        <c:axId val="11165429"/>
        <c:axId val="93923641"/>
      </c:barChart>
      <c:catAx>
        <c:axId val="111654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3923641"/>
        <c:crosses val="autoZero"/>
        <c:auto val="1"/>
        <c:lblAlgn val="ctr"/>
        <c:lblOffset val="100"/>
        <c:noMultiLvlLbl val="0"/>
      </c:catAx>
      <c:valAx>
        <c:axId val="93923641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$ vs. trend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&quot;$&quot;#,##0" sourceLinked="1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11654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2703c67a-ce87-428f-aa10-5c490b273a9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70560</xdr:rowOff>
    </xdr:from>
    <xdr:to>
      <xdr:col>12</xdr:col>
      <xdr:colOff>745200</xdr:colOff>
      <xdr:row>25</xdr:row>
      <xdr:rowOff>71640</xdr:rowOff>
    </xdr:to>
    <xdr:graphicFrame>
      <xdr:nvGraphicFramePr>
        <xdr:cNvPr id="2" name="Chart 1"/>
        <xdr:cNvGraphicFramePr/>
      </xdr:nvGraphicFramePr>
      <xdr:xfrm>
        <a:off x="0" y="1911985"/>
        <a:ext cx="8568055" cy="3131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29</xdr:row>
      <xdr:rowOff>70560</xdr:rowOff>
    </xdr:from>
    <xdr:to>
      <xdr:col>7</xdr:col>
      <xdr:colOff>176040</xdr:colOff>
      <xdr:row>44</xdr:row>
      <xdr:rowOff>92520</xdr:rowOff>
    </xdr:to>
    <xdr:graphicFrame>
      <xdr:nvGraphicFramePr>
        <xdr:cNvPr id="3" name="Chart 2"/>
        <xdr:cNvGraphicFramePr/>
      </xdr:nvGraphicFramePr>
      <xdr:xfrm>
        <a:off x="0" y="5842635"/>
        <a:ext cx="4995545" cy="278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56"/>
  <sheetViews>
    <sheetView showGridLines="0" workbookViewId="0">
      <selection activeCell="A1" sqref="A1"/>
    </sheetView>
  </sheetViews>
  <sheetFormatPr defaultColWidth="8.68181818181818" defaultRowHeight="14.5"/>
  <cols>
    <col min="1" max="2" width="13" customWidth="1"/>
    <col min="3" max="3" width="2" customWidth="1"/>
    <col min="4" max="5" width="13" customWidth="1"/>
    <col min="6" max="6" width="2" customWidth="1"/>
    <col min="7" max="8" width="13" customWidth="1"/>
    <col min="9" max="9" width="2" customWidth="1"/>
    <col min="10" max="11" width="13" customWidth="1"/>
    <col min="12" max="12" width="2" customWidth="1"/>
    <col min="13" max="14" width="13" customWidth="1"/>
  </cols>
  <sheetData>
    <row r="1" ht="25" spans="1:11">
      <c r="A1" s="23" t="s">
        <v>0</v>
      </c>
    </row>
    <row r="2" spans="1:11">
      <c r="A2" s="24" t="s">
        <v>1</v>
      </c>
      <c r="B2" s="24"/>
      <c r="C2" s="24"/>
      <c r="D2" s="24"/>
      <c r="E2" s="24"/>
      <c r="F2" s="24"/>
      <c r="G2" s="24"/>
      <c r="H2" s="24"/>
    </row>
    <row r="4" ht="15.75" customHeight="1" spans="1:11">
      <c r="A4" s="25" t="s">
        <v>2</v>
      </c>
      <c r="B4" s="25"/>
      <c r="D4" s="25" t="s">
        <v>3</v>
      </c>
      <c r="E4" s="25"/>
      <c r="G4" s="25" t="s">
        <v>4</v>
      </c>
      <c r="H4" s="25"/>
      <c r="J4" s="25" t="s">
        <v>5</v>
      </c>
      <c r="K4" s="25"/>
    </row>
    <row r="5" ht="27.75" customHeight="1" spans="1:11">
      <c r="A5" s="26">
        <f>SUM(Model!J58:J69)</f>
        <v>861882.164993565</v>
      </c>
      <c r="B5" s="26"/>
      <c r="D5" s="26">
        <f>Model!B7</f>
        <v>704.075804375804</v>
      </c>
      <c r="E5" s="26"/>
      <c r="G5" s="27">
        <f>Model!B12</f>
        <v>0.0281220072528964</v>
      </c>
      <c r="H5" s="27"/>
      <c r="J5" s="28" t="str">
        <f>INDEX({"Jan";"Feb";"Mar";"Apr";"May";"Jun";"Jul";"Aug";"Sep";"Oct";"Nov";"Dec"},MATCH(MAX(Model!P6:P17),Model!P6:P17,0))</f>
        <v>Dec</v>
      </c>
      <c r="K5" s="28"/>
    </row>
    <row r="6" ht="13.5" customHeight="1" spans="1:11">
      <c r="A6" s="29" t="s">
        <v>6</v>
      </c>
      <c r="B6" s="29"/>
      <c r="D6" s="29" t="s">
        <v>7</v>
      </c>
      <c r="E6" s="29"/>
      <c r="G6" s="29" t="s">
        <v>8</v>
      </c>
      <c r="H6" s="29"/>
      <c r="J6" s="29" t="s">
        <v>9</v>
      </c>
      <c r="K6" s="29"/>
    </row>
    <row r="8" ht="19.5" customHeight="1" spans="1:11">
      <c r="A8" s="30" t="s">
        <v>10</v>
      </c>
    </row>
    <row r="29" ht="19.5" customHeight="1" spans="1:1">
      <c r="A29" s="30" t="s">
        <v>11</v>
      </c>
    </row>
    <row r="48" ht="19.5" customHeight="1" spans="1:1">
      <c r="A48" s="30" t="s">
        <v>12</v>
      </c>
    </row>
    <row r="50" spans="1:5">
      <c r="A50" s="31" t="s">
        <v>13</v>
      </c>
      <c r="B50" s="31" t="s">
        <v>14</v>
      </c>
      <c r="D50" s="31" t="s">
        <v>15</v>
      </c>
      <c r="E50" s="31" t="s">
        <v>16</v>
      </c>
    </row>
    <row r="51" spans="1:5">
      <c r="A51" s="32">
        <f>Model!A52</f>
        <v>45839</v>
      </c>
      <c r="B51" s="33">
        <f>Model!C52</f>
        <v>63433</v>
      </c>
      <c r="D51" s="33">
        <f>Model!I52</f>
        <v>64461.8246168582</v>
      </c>
      <c r="E51" s="34">
        <f>Model!L52</f>
        <v>0.0162190755105107</v>
      </c>
    </row>
    <row r="52" spans="1:5">
      <c r="A52" s="32">
        <f>Model!A53</f>
        <v>45870</v>
      </c>
      <c r="B52" s="33">
        <f>Model!C53</f>
        <v>65180</v>
      </c>
      <c r="D52" s="33">
        <f>Model!I53</f>
        <v>62256.8246168582</v>
      </c>
      <c r="E52" s="34">
        <f>Model!L53</f>
        <v>0.0448477352430464</v>
      </c>
    </row>
    <row r="53" spans="1:5">
      <c r="A53" s="32">
        <f>Model!A54</f>
        <v>45901</v>
      </c>
      <c r="B53" s="33">
        <f>Model!C54</f>
        <v>61434</v>
      </c>
      <c r="D53" s="33">
        <f>Model!I54</f>
        <v>64778.8246168582</v>
      </c>
      <c r="E53" s="34">
        <f>Model!L54</f>
        <v>0.0544458218064629</v>
      </c>
    </row>
    <row r="54" spans="1:5">
      <c r="A54" s="32">
        <f>Model!A55</f>
        <v>45931</v>
      </c>
      <c r="B54" s="33">
        <f>Model!C55</f>
        <v>66489</v>
      </c>
      <c r="D54" s="33">
        <f>Model!I55</f>
        <v>66376.8246168582</v>
      </c>
      <c r="E54" s="34">
        <f>Model!L55</f>
        <v>0.00168712694042261</v>
      </c>
    </row>
    <row r="55" spans="1:5">
      <c r="A55" s="32">
        <f>Model!A56</f>
        <v>45962</v>
      </c>
      <c r="B55" s="33">
        <f>Model!C56</f>
        <v>67679</v>
      </c>
      <c r="D55" s="33">
        <f>Model!I56</f>
        <v>69454.3246168582</v>
      </c>
      <c r="E55" s="34">
        <f>Model!L56</f>
        <v>0.0262315432683438</v>
      </c>
    </row>
    <row r="56" spans="1:5">
      <c r="A56" s="32">
        <f>Model!A57</f>
        <v>45992</v>
      </c>
      <c r="B56" s="33">
        <f>Model!C57</f>
        <v>71572</v>
      </c>
      <c r="D56" s="33">
        <f>Model!I57</f>
        <v>73382.8246168582</v>
      </c>
      <c r="E56" s="34">
        <f>Model!L57</f>
        <v>0.025300740748592</v>
      </c>
    </row>
  </sheetData>
  <mergeCells count="13">
    <mergeCell ref="A2:H2"/>
    <mergeCell ref="A4:B4"/>
    <mergeCell ref="D4:E4"/>
    <mergeCell ref="G4:H4"/>
    <mergeCell ref="J4:K4"/>
    <mergeCell ref="A5:B5"/>
    <mergeCell ref="D5:E5"/>
    <mergeCell ref="G5:H5"/>
    <mergeCell ref="J5:K5"/>
    <mergeCell ref="A6:B6"/>
    <mergeCell ref="D6:E6"/>
    <mergeCell ref="G6:H6"/>
    <mergeCell ref="J6:K6"/>
  </mergeCells>
  <pageMargins left="0.75" right="0.75" top="1" bottom="1" header="0.511811023622047" footer="0.511811023622047"/>
  <pageSetup paperSize="1" fitToHeight="0" orientation="landscape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showGridLines="0" workbookViewId="0">
      <selection activeCell="A1" sqref="A1"/>
    </sheetView>
  </sheetViews>
  <sheetFormatPr defaultColWidth="8.68181818181818" defaultRowHeight="14.5" outlineLevelCol="1"/>
  <cols>
    <col min="1" max="2" width="14" style="1" customWidth="1"/>
  </cols>
  <sheetData>
    <row r="1" ht="17.25" customHeight="1" spans="1:2">
      <c r="A1" s="2" t="s">
        <v>17</v>
      </c>
    </row>
    <row r="2" ht="15" customHeight="1" spans="1:2">
      <c r="A2" s="20" t="s">
        <v>18</v>
      </c>
    </row>
    <row r="4" ht="15" customHeight="1" spans="1:2">
      <c r="A4" s="17" t="s">
        <v>13</v>
      </c>
      <c r="B4" s="17" t="s">
        <v>19</v>
      </c>
    </row>
    <row r="5" ht="15" customHeight="1" spans="1:2">
      <c r="A5" s="21">
        <v>44927</v>
      </c>
      <c r="B5" s="22">
        <v>41310</v>
      </c>
    </row>
    <row r="6" ht="15" customHeight="1" spans="1:2">
      <c r="A6" s="21">
        <v>44958</v>
      </c>
      <c r="B6" s="22">
        <v>40187</v>
      </c>
    </row>
    <row r="7" ht="15" customHeight="1" spans="1:2">
      <c r="A7" s="21">
        <v>44986</v>
      </c>
      <c r="B7" s="22">
        <v>43186</v>
      </c>
    </row>
    <row r="8" ht="15" customHeight="1" spans="1:2">
      <c r="A8" s="21">
        <v>45017</v>
      </c>
      <c r="B8" s="22">
        <v>45248</v>
      </c>
    </row>
    <row r="9" ht="15" customHeight="1" spans="1:2">
      <c r="A9" s="21">
        <v>45047</v>
      </c>
      <c r="B9" s="22">
        <v>45282</v>
      </c>
    </row>
    <row r="10" ht="15" customHeight="1" spans="1:2">
      <c r="A10" s="21">
        <v>45078</v>
      </c>
      <c r="B10" s="22">
        <v>47302</v>
      </c>
    </row>
    <row r="11" ht="15" customHeight="1" spans="1:2">
      <c r="A11" s="21">
        <v>45108</v>
      </c>
      <c r="B11" s="22">
        <v>48649</v>
      </c>
    </row>
    <row r="12" ht="15" customHeight="1" spans="1:2">
      <c r="A12" s="21">
        <v>45139</v>
      </c>
      <c r="B12" s="22">
        <v>46470</v>
      </c>
    </row>
    <row r="13" ht="15" customHeight="1" spans="1:2">
      <c r="A13" s="21">
        <v>45170</v>
      </c>
      <c r="B13" s="22">
        <v>48769</v>
      </c>
    </row>
    <row r="14" ht="15" customHeight="1" spans="1:2">
      <c r="A14" s="21">
        <v>45200</v>
      </c>
      <c r="B14" s="22">
        <v>50961</v>
      </c>
    </row>
    <row r="15" ht="15" customHeight="1" spans="1:2">
      <c r="A15" s="21">
        <v>45231</v>
      </c>
      <c r="B15" s="22">
        <v>53662</v>
      </c>
    </row>
    <row r="16" ht="15" customHeight="1" spans="1:2">
      <c r="A16" s="21">
        <v>45261</v>
      </c>
      <c r="B16" s="22">
        <v>56511</v>
      </c>
    </row>
    <row r="17" ht="15" customHeight="1" spans="1:2">
      <c r="A17" s="21">
        <v>45292</v>
      </c>
      <c r="B17" s="22">
        <v>47806</v>
      </c>
    </row>
    <row r="18" ht="15" customHeight="1" spans="1:2">
      <c r="A18" s="21">
        <v>45323</v>
      </c>
      <c r="B18" s="22">
        <v>48213</v>
      </c>
    </row>
    <row r="19" ht="15" customHeight="1" spans="1:2">
      <c r="A19" s="21">
        <v>45352</v>
      </c>
      <c r="B19" s="22">
        <v>50683</v>
      </c>
    </row>
    <row r="20" ht="15" customHeight="1" spans="1:2">
      <c r="A20" s="21">
        <v>45383</v>
      </c>
      <c r="B20" s="22">
        <v>51001</v>
      </c>
    </row>
    <row r="21" ht="15" customHeight="1" spans="1:2">
      <c r="A21" s="21">
        <v>45413</v>
      </c>
      <c r="B21" s="22">
        <v>54560</v>
      </c>
    </row>
    <row r="22" ht="15" customHeight="1" spans="1:2">
      <c r="A22" s="21">
        <v>45444</v>
      </c>
      <c r="B22" s="22">
        <v>55236</v>
      </c>
    </row>
    <row r="23" ht="15" customHeight="1" spans="1:2">
      <c r="A23" s="21">
        <v>45474</v>
      </c>
      <c r="B23" s="22">
        <v>56752</v>
      </c>
    </row>
    <row r="24" ht="15" customHeight="1" spans="1:2">
      <c r="A24" s="21">
        <v>45505</v>
      </c>
      <c r="B24" s="22">
        <v>54521</v>
      </c>
    </row>
    <row r="25" ht="15" customHeight="1" spans="1:2">
      <c r="A25" s="21">
        <v>45536</v>
      </c>
      <c r="B25" s="22">
        <v>57266</v>
      </c>
    </row>
    <row r="26" ht="15" customHeight="1" spans="1:2">
      <c r="A26" s="21">
        <v>45566</v>
      </c>
      <c r="B26" s="22">
        <v>58270</v>
      </c>
    </row>
    <row r="27" ht="15" customHeight="1" spans="1:2">
      <c r="A27" s="21">
        <v>45597</v>
      </c>
      <c r="B27" s="22">
        <v>61724</v>
      </c>
    </row>
    <row r="28" ht="15" customHeight="1" spans="1:2">
      <c r="A28" s="21">
        <v>45627</v>
      </c>
      <c r="B28" s="22">
        <v>66732</v>
      </c>
    </row>
    <row r="29" ht="15" customHeight="1" spans="1:2">
      <c r="A29" s="21">
        <v>45658</v>
      </c>
      <c r="B29" s="22">
        <v>55000</v>
      </c>
    </row>
    <row r="30" ht="15" customHeight="1" spans="1:2">
      <c r="A30" s="21">
        <v>45689</v>
      </c>
      <c r="B30" s="22">
        <v>54704</v>
      </c>
    </row>
    <row r="31" ht="15" customHeight="1" spans="1:2">
      <c r="A31" s="21">
        <v>45717</v>
      </c>
      <c r="B31" s="22">
        <v>58304</v>
      </c>
    </row>
    <row r="32" ht="15" customHeight="1" spans="1:2">
      <c r="A32" s="21">
        <v>45748</v>
      </c>
      <c r="B32" s="22">
        <v>57883</v>
      </c>
    </row>
    <row r="33" ht="15" customHeight="1" spans="1:2">
      <c r="A33" s="21">
        <v>45778</v>
      </c>
      <c r="B33" s="22">
        <v>62904</v>
      </c>
    </row>
    <row r="34" ht="15" customHeight="1" spans="1:2">
      <c r="A34" s="21">
        <v>45809</v>
      </c>
      <c r="B34" s="22">
        <v>62442</v>
      </c>
    </row>
    <row r="35" ht="15" customHeight="1" spans="1:2">
      <c r="A35" s="21">
        <v>45839</v>
      </c>
      <c r="B35" s="22">
        <v>63433</v>
      </c>
    </row>
    <row r="36" ht="15" customHeight="1" spans="1:2">
      <c r="A36" s="21">
        <v>45870</v>
      </c>
      <c r="B36" s="22">
        <v>65180</v>
      </c>
    </row>
    <row r="37" ht="15" customHeight="1" spans="1:2">
      <c r="A37" s="21">
        <v>45901</v>
      </c>
      <c r="B37" s="22">
        <v>61434</v>
      </c>
    </row>
    <row r="38" ht="15" customHeight="1" spans="1:2">
      <c r="A38" s="21">
        <v>45931</v>
      </c>
      <c r="B38" s="22">
        <v>66489</v>
      </c>
    </row>
    <row r="39" ht="15" customHeight="1" spans="1:2">
      <c r="A39" s="21">
        <v>45962</v>
      </c>
      <c r="B39" s="22">
        <v>67679</v>
      </c>
    </row>
    <row r="40" ht="15" customHeight="1" spans="1:2">
      <c r="A40" s="21">
        <v>45992</v>
      </c>
      <c r="B40" s="22">
        <v>71572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9"/>
  <sheetViews>
    <sheetView showGridLines="0" tabSelected="1" workbookViewId="0">
      <selection activeCell="H28" sqref="H28"/>
    </sheetView>
  </sheetViews>
  <sheetFormatPr defaultColWidth="8.68181818181818" defaultRowHeight="14.5"/>
  <cols>
    <col min="1" max="1" width="22" style="1" customWidth="1"/>
    <col min="2" max="12" width="13" style="1" customWidth="1"/>
    <col min="14" max="14" width="8" style="1" customWidth="1"/>
    <col min="15" max="15" width="16" style="1" customWidth="1"/>
    <col min="16" max="16" width="14" style="1" customWidth="1"/>
  </cols>
  <sheetData>
    <row r="1" ht="17.25" customHeight="1" spans="1:16">
      <c r="A1" s="2" t="s">
        <v>20</v>
      </c>
    </row>
    <row r="2" ht="15" customHeight="1" spans="1:16">
      <c r="A2" s="3" t="s">
        <v>21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ht="15" customHeight="1" spans="1:16">
      <c r="A4" s="4" t="s">
        <v>22</v>
      </c>
      <c r="N4" s="5" t="s">
        <v>23</v>
      </c>
      <c r="O4" s="5"/>
      <c r="P4" s="5"/>
    </row>
    <row r="5" ht="15" customHeight="1" spans="1:16">
      <c r="A5" s="6" t="s">
        <v>24</v>
      </c>
      <c r="B5" s="6" t="s">
        <v>25</v>
      </c>
      <c r="C5" s="6" t="s">
        <v>26</v>
      </c>
      <c r="N5" s="7" t="s">
        <v>27</v>
      </c>
      <c r="O5" s="7" t="s">
        <v>28</v>
      </c>
      <c r="P5" s="7" t="s">
        <v>29</v>
      </c>
    </row>
    <row r="6" ht="15" customHeight="1" spans="1:16">
      <c r="A6" s="8" t="s">
        <v>30</v>
      </c>
      <c r="B6" s="9">
        <f>SLOPE(C22:C51,B22:B51)</f>
        <v>674.758620689655</v>
      </c>
      <c r="C6" s="9">
        <f>INTERCEPT(C22:C51,B22:B51)</f>
        <v>42259.1747126437</v>
      </c>
      <c r="N6" s="10">
        <v>1</v>
      </c>
      <c r="O6" s="11">
        <f t="shared" ref="O6:O17" si="0">IFERROR(AVERAGEIFS($C$22:$C$51,$D$22:$D$51,N6)-AVERAGEIFS($E$22:$E$51,$D$22:$D$51,N6),0)</f>
        <v>-2992.37011494253</v>
      </c>
      <c r="P6" s="11">
        <f t="shared" ref="P6:P17" si="1">IFERROR(AVERAGEIFS($C$22:$C$57,$D$22:$D$57,N6)-AVERAGEIFS($F$22:$F$57,$D$22:$D$57,N6),0)</f>
        <v>-3014.61085371085</v>
      </c>
    </row>
    <row r="7" ht="15" customHeight="1" spans="1:16">
      <c r="A7" s="8" t="s">
        <v>31</v>
      </c>
      <c r="B7" s="9">
        <f>SLOPE(C22:C57,B22:B57)</f>
        <v>704.075804375804</v>
      </c>
      <c r="C7" s="9">
        <f>INTERCEPT(C22:C57,B22:B57)</f>
        <v>41900.2920634921</v>
      </c>
      <c r="N7" s="10">
        <v>2</v>
      </c>
      <c r="O7" s="11">
        <f t="shared" si="0"/>
        <v>-4004.46206896552</v>
      </c>
      <c r="P7" s="11">
        <f t="shared" si="1"/>
        <v>-4056.01999141999</v>
      </c>
    </row>
    <row r="8" ht="15" customHeight="1" spans="1:16">
      <c r="N8" s="10">
        <v>3</v>
      </c>
      <c r="O8" s="11">
        <f t="shared" si="0"/>
        <v>-1656.22068965517</v>
      </c>
      <c r="P8" s="11">
        <f t="shared" si="1"/>
        <v>-1737.09579579579</v>
      </c>
    </row>
    <row r="9" ht="15" customHeight="1" spans="1:16">
      <c r="A9" s="4" t="s">
        <v>32</v>
      </c>
      <c r="N9" s="10">
        <v>4</v>
      </c>
      <c r="O9" s="11">
        <f t="shared" si="0"/>
        <v>-1677.97931034482</v>
      </c>
      <c r="P9" s="11">
        <f t="shared" si="1"/>
        <v>-1788.1716001716</v>
      </c>
    </row>
    <row r="10" ht="15" customHeight="1" spans="1:16">
      <c r="A10" s="12" t="s">
        <v>33</v>
      </c>
      <c r="B10" s="13">
        <f>SUMPRODUCT(ABS(K52:K57))/6</f>
        <v>1832.52487228608</v>
      </c>
      <c r="N10" s="10">
        <v>5</v>
      </c>
      <c r="O10" s="11">
        <f t="shared" si="0"/>
        <v>518.595402298844</v>
      </c>
      <c r="P10" s="11">
        <f t="shared" si="1"/>
        <v>379.08592878592</v>
      </c>
    </row>
    <row r="11" ht="15" customHeight="1" spans="1:16">
      <c r="A11" s="12" t="s">
        <v>34</v>
      </c>
      <c r="B11" s="13">
        <f>SQRT(SUMPRODUCT((K52:K57)^2)/6)</f>
        <v>2130.52156115296</v>
      </c>
      <c r="N11" s="10">
        <v>6</v>
      </c>
      <c r="O11" s="11">
        <f t="shared" si="0"/>
        <v>588.503448275871</v>
      </c>
      <c r="P11" s="11">
        <f t="shared" si="1"/>
        <v>419.676791076781</v>
      </c>
    </row>
    <row r="12" ht="15" customHeight="1" spans="1:16">
      <c r="A12" s="12" t="s">
        <v>35</v>
      </c>
      <c r="B12" s="14">
        <f>SUMPRODUCT(L52:L57)/6</f>
        <v>0.0281220072528964</v>
      </c>
      <c r="N12" s="10">
        <v>7</v>
      </c>
      <c r="O12" s="11">
        <f t="shared" si="0"/>
        <v>1669.4632183908</v>
      </c>
      <c r="P12" s="11">
        <f t="shared" si="1"/>
        <v>1000.26765336765</v>
      </c>
    </row>
    <row r="13" ht="15" customHeight="1" spans="1:16">
      <c r="N13" s="10">
        <v>8</v>
      </c>
      <c r="O13" s="11">
        <f t="shared" si="0"/>
        <v>-1210.29540229886</v>
      </c>
      <c r="P13" s="11">
        <f t="shared" si="1"/>
        <v>-591.474817674818</v>
      </c>
    </row>
    <row r="14" ht="15" customHeight="1" spans="1:16">
      <c r="N14" s="10">
        <v>9</v>
      </c>
      <c r="O14" s="11">
        <f t="shared" si="0"/>
        <v>636.945977011492</v>
      </c>
      <c r="P14" s="11">
        <f t="shared" si="1"/>
        <v>-862.883955383957</v>
      </c>
    </row>
    <row r="15" ht="15" customHeight="1" spans="1:16">
      <c r="N15" s="10">
        <v>10</v>
      </c>
      <c r="O15" s="11">
        <f t="shared" si="0"/>
        <v>1560.18735632184</v>
      </c>
      <c r="P15" s="11">
        <f t="shared" si="1"/>
        <v>1183.37357357358</v>
      </c>
    </row>
    <row r="16" ht="15" customHeight="1" spans="1:16">
      <c r="N16" s="10">
        <v>11</v>
      </c>
      <c r="O16" s="11">
        <f t="shared" si="0"/>
        <v>3962.92873563219</v>
      </c>
      <c r="P16" s="11">
        <f t="shared" si="1"/>
        <v>2927.6311025311</v>
      </c>
    </row>
    <row r="17" ht="15" customHeight="1" spans="1:16">
      <c r="N17" s="10">
        <v>12</v>
      </c>
      <c r="O17" s="11">
        <f t="shared" si="0"/>
        <v>7216.67011494252</v>
      </c>
      <c r="P17" s="11">
        <f t="shared" si="1"/>
        <v>6140.22196482196</v>
      </c>
    </row>
    <row r="18" ht="15" customHeight="1" spans="1:16">
      <c r="N18" s="15" t="s">
        <v>36</v>
      </c>
      <c r="O18" s="16">
        <f>AVERAGE(O6:O17)</f>
        <v>384.330555555554</v>
      </c>
      <c r="P18" s="16">
        <f>AVERAGE(P6:P17)</f>
        <v>-1.81898940354586e-12</v>
      </c>
    </row>
    <row r="20" ht="15" customHeight="1" spans="1:16">
      <c r="A20" s="4" t="s">
        <v>37</v>
      </c>
    </row>
    <row r="21" ht="21.75" customHeight="1" spans="1:16">
      <c r="A21" s="17" t="s">
        <v>13</v>
      </c>
      <c r="B21" s="17" t="s">
        <v>38</v>
      </c>
      <c r="C21" s="17" t="s">
        <v>14</v>
      </c>
      <c r="D21" s="17" t="s">
        <v>27</v>
      </c>
      <c r="E21" s="17" t="s">
        <v>39</v>
      </c>
      <c r="F21" s="17" t="s">
        <v>40</v>
      </c>
      <c r="G21" s="17" t="s">
        <v>41</v>
      </c>
      <c r="H21" s="17" t="s">
        <v>42</v>
      </c>
      <c r="I21" s="17" t="s">
        <v>43</v>
      </c>
      <c r="J21" s="17" t="s">
        <v>44</v>
      </c>
      <c r="K21" s="17" t="s">
        <v>45</v>
      </c>
      <c r="L21" s="17" t="s">
        <v>16</v>
      </c>
    </row>
    <row r="22" ht="15" customHeight="1" spans="1:16">
      <c r="A22" s="18">
        <f>Data!A5</f>
        <v>44927</v>
      </c>
      <c r="B22" s="8">
        <v>1</v>
      </c>
      <c r="C22" s="11">
        <f>Data!B5</f>
        <v>41310</v>
      </c>
      <c r="D22" s="10">
        <f t="shared" ref="D22:D69" si="2">MONTH(A22)</f>
        <v>1</v>
      </c>
      <c r="E22" s="11">
        <f t="shared" ref="E22:E69" si="3">$B$6*B22+$C$6</f>
        <v>42933.9333333333</v>
      </c>
      <c r="F22" s="11">
        <f t="shared" ref="F22:F69" si="4">$B$7*B22+$C$7</f>
        <v>42604.3678678679</v>
      </c>
      <c r="G22" s="11">
        <f t="shared" ref="G22:G69" si="5">INDEX($O$6:$O$17,MATCH(D22,$N$6:$N$17,0))-$O$18</f>
        <v>-3376.70067049809</v>
      </c>
      <c r="H22" s="11">
        <f t="shared" ref="H22:H69" si="6">INDEX($P$6:$P$17,MATCH(D22,$N$6:$N$17,0))-$P$18</f>
        <v>-3014.61085371085</v>
      </c>
      <c r="I22" s="8"/>
      <c r="J22" s="11">
        <f t="shared" ref="J22:J69" si="7">F22+H22</f>
        <v>39589.757014157</v>
      </c>
      <c r="K22" s="8"/>
      <c r="L22" s="8"/>
    </row>
    <row r="23" ht="15" customHeight="1" spans="1:16">
      <c r="A23" s="18">
        <f>Data!A6</f>
        <v>44958</v>
      </c>
      <c r="B23" s="8">
        <v>2</v>
      </c>
      <c r="C23" s="11">
        <f>Data!B6</f>
        <v>40187</v>
      </c>
      <c r="D23" s="10">
        <f t="shared" si="2"/>
        <v>2</v>
      </c>
      <c r="E23" s="11">
        <f t="shared" si="3"/>
        <v>43608.691954023</v>
      </c>
      <c r="F23" s="11">
        <f t="shared" si="4"/>
        <v>43308.4436722437</v>
      </c>
      <c r="G23" s="11">
        <f t="shared" si="5"/>
        <v>-4388.79262452107</v>
      </c>
      <c r="H23" s="11">
        <f t="shared" si="6"/>
        <v>-4056.01999141999</v>
      </c>
      <c r="I23" s="8"/>
      <c r="J23" s="11">
        <f t="shared" si="7"/>
        <v>39252.4236808237</v>
      </c>
      <c r="K23" s="8"/>
      <c r="L23" s="8"/>
    </row>
    <row r="24" ht="15" customHeight="1" spans="1:16">
      <c r="A24" s="18">
        <f>Data!A7</f>
        <v>44986</v>
      </c>
      <c r="B24" s="8">
        <v>3</v>
      </c>
      <c r="C24" s="11">
        <f>Data!B7</f>
        <v>43186</v>
      </c>
      <c r="D24" s="10">
        <f t="shared" si="2"/>
        <v>3</v>
      </c>
      <c r="E24" s="11">
        <f t="shared" si="3"/>
        <v>44283.4505747126</v>
      </c>
      <c r="F24" s="11">
        <f t="shared" si="4"/>
        <v>44012.5194766195</v>
      </c>
      <c r="G24" s="11">
        <f t="shared" si="5"/>
        <v>-2040.55124521073</v>
      </c>
      <c r="H24" s="11">
        <f t="shared" si="6"/>
        <v>-1737.09579579579</v>
      </c>
      <c r="I24" s="8"/>
      <c r="J24" s="11">
        <f t="shared" si="7"/>
        <v>42275.4236808237</v>
      </c>
      <c r="K24" s="8"/>
      <c r="L24" s="8"/>
    </row>
    <row r="25" ht="15" customHeight="1" spans="1:16">
      <c r="A25" s="18">
        <f>Data!A8</f>
        <v>45017</v>
      </c>
      <c r="B25" s="8">
        <v>4</v>
      </c>
      <c r="C25" s="11">
        <f>Data!B8</f>
        <v>45248</v>
      </c>
      <c r="D25" s="10">
        <f t="shared" si="2"/>
        <v>4</v>
      </c>
      <c r="E25" s="11">
        <f t="shared" si="3"/>
        <v>44958.2091954023</v>
      </c>
      <c r="F25" s="11">
        <f t="shared" si="4"/>
        <v>44716.5952809953</v>
      </c>
      <c r="G25" s="11">
        <f t="shared" si="5"/>
        <v>-2062.30986590038</v>
      </c>
      <c r="H25" s="11">
        <f t="shared" si="6"/>
        <v>-1788.1716001716</v>
      </c>
      <c r="I25" s="8"/>
      <c r="J25" s="11">
        <f t="shared" si="7"/>
        <v>42928.4236808237</v>
      </c>
      <c r="K25" s="8"/>
      <c r="L25" s="8"/>
    </row>
    <row r="26" ht="15" customHeight="1" spans="1:16">
      <c r="A26" s="18">
        <f>Data!A9</f>
        <v>45047</v>
      </c>
      <c r="B26" s="8">
        <v>5</v>
      </c>
      <c r="C26" s="11">
        <f>Data!B9</f>
        <v>45282</v>
      </c>
      <c r="D26" s="10">
        <f t="shared" si="2"/>
        <v>5</v>
      </c>
      <c r="E26" s="11">
        <f t="shared" si="3"/>
        <v>45632.967816092</v>
      </c>
      <c r="F26" s="11">
        <f t="shared" si="4"/>
        <v>45420.6710853711</v>
      </c>
      <c r="G26" s="11">
        <f t="shared" si="5"/>
        <v>134.264846743291</v>
      </c>
      <c r="H26" s="11">
        <f t="shared" si="6"/>
        <v>379.085928785922</v>
      </c>
      <c r="I26" s="8"/>
      <c r="J26" s="11">
        <f t="shared" si="7"/>
        <v>45799.757014157</v>
      </c>
      <c r="K26" s="8"/>
      <c r="L26" s="8"/>
    </row>
    <row r="27" ht="15" customHeight="1" spans="1:16">
      <c r="A27" s="18">
        <f>Data!A10</f>
        <v>45078</v>
      </c>
      <c r="B27" s="8">
        <v>6</v>
      </c>
      <c r="C27" s="11">
        <f>Data!B10</f>
        <v>47302</v>
      </c>
      <c r="D27" s="10">
        <f t="shared" si="2"/>
        <v>6</v>
      </c>
      <c r="E27" s="11">
        <f t="shared" si="3"/>
        <v>46307.7264367816</v>
      </c>
      <c r="F27" s="11">
        <f t="shared" si="4"/>
        <v>46124.7468897469</v>
      </c>
      <c r="G27" s="11">
        <f t="shared" si="5"/>
        <v>204.172892720317</v>
      </c>
      <c r="H27" s="11">
        <f t="shared" si="6"/>
        <v>419.676791076783</v>
      </c>
      <c r="I27" s="8"/>
      <c r="J27" s="11">
        <f t="shared" si="7"/>
        <v>46544.4236808237</v>
      </c>
      <c r="K27" s="8"/>
      <c r="L27" s="8"/>
    </row>
    <row r="28" ht="15" customHeight="1" spans="1:16">
      <c r="A28" s="18">
        <f>Data!A11</f>
        <v>45108</v>
      </c>
      <c r="B28" s="8">
        <v>7</v>
      </c>
      <c r="C28" s="11">
        <f>Data!B11</f>
        <v>48649</v>
      </c>
      <c r="D28" s="10">
        <f t="shared" si="2"/>
        <v>7</v>
      </c>
      <c r="E28" s="11">
        <f t="shared" si="3"/>
        <v>46982.4850574713</v>
      </c>
      <c r="F28" s="11">
        <f t="shared" si="4"/>
        <v>46828.8226941227</v>
      </c>
      <c r="G28" s="11">
        <f t="shared" si="5"/>
        <v>1285.13266283524</v>
      </c>
      <c r="H28" s="11">
        <f t="shared" si="6"/>
        <v>1000.26765336765</v>
      </c>
      <c r="I28" s="8"/>
      <c r="J28" s="11">
        <f t="shared" si="7"/>
        <v>47829.0903474903</v>
      </c>
      <c r="K28" s="8"/>
      <c r="L28" s="8"/>
    </row>
    <row r="29" ht="15" customHeight="1" spans="1:16">
      <c r="A29" s="18">
        <f>Data!A12</f>
        <v>45139</v>
      </c>
      <c r="B29" s="8">
        <v>8</v>
      </c>
      <c r="C29" s="11">
        <f>Data!B12</f>
        <v>46470</v>
      </c>
      <c r="D29" s="10">
        <f t="shared" si="2"/>
        <v>8</v>
      </c>
      <c r="E29" s="11">
        <f t="shared" si="3"/>
        <v>47657.2436781609</v>
      </c>
      <c r="F29" s="11">
        <f t="shared" si="4"/>
        <v>47532.8984984985</v>
      </c>
      <c r="G29" s="11">
        <f t="shared" si="5"/>
        <v>-1594.62595785441</v>
      </c>
      <c r="H29" s="11">
        <f t="shared" si="6"/>
        <v>-591.474817674816</v>
      </c>
      <c r="I29" s="8"/>
      <c r="J29" s="11">
        <f t="shared" si="7"/>
        <v>46941.4236808237</v>
      </c>
      <c r="K29" s="8"/>
      <c r="L29" s="8"/>
    </row>
    <row r="30" ht="15" customHeight="1" spans="1:16">
      <c r="A30" s="18">
        <f>Data!A13</f>
        <v>45170</v>
      </c>
      <c r="B30" s="8">
        <v>9</v>
      </c>
      <c r="C30" s="11">
        <f>Data!B13</f>
        <v>48769</v>
      </c>
      <c r="D30" s="10">
        <f t="shared" si="2"/>
        <v>9</v>
      </c>
      <c r="E30" s="11">
        <f t="shared" si="3"/>
        <v>48332.0022988506</v>
      </c>
      <c r="F30" s="11">
        <f t="shared" si="4"/>
        <v>48236.9743028743</v>
      </c>
      <c r="G30" s="11">
        <f t="shared" si="5"/>
        <v>252.615421455938</v>
      </c>
      <c r="H30" s="11">
        <f t="shared" si="6"/>
        <v>-862.883955383955</v>
      </c>
      <c r="I30" s="8"/>
      <c r="J30" s="11">
        <f t="shared" si="7"/>
        <v>47374.0903474903</v>
      </c>
      <c r="K30" s="8"/>
      <c r="L30" s="8"/>
    </row>
    <row r="31" ht="15" customHeight="1" spans="1:16">
      <c r="A31" s="18">
        <f>Data!A14</f>
        <v>45200</v>
      </c>
      <c r="B31" s="8">
        <v>10</v>
      </c>
      <c r="C31" s="11">
        <f>Data!B14</f>
        <v>50961</v>
      </c>
      <c r="D31" s="10">
        <f t="shared" si="2"/>
        <v>10</v>
      </c>
      <c r="E31" s="11">
        <f t="shared" si="3"/>
        <v>49006.7609195402</v>
      </c>
      <c r="F31" s="11">
        <f t="shared" si="4"/>
        <v>48941.0501072501</v>
      </c>
      <c r="G31" s="11">
        <f t="shared" si="5"/>
        <v>1175.85680076629</v>
      </c>
      <c r="H31" s="11">
        <f t="shared" si="6"/>
        <v>1183.37357357358</v>
      </c>
      <c r="I31" s="8"/>
      <c r="J31" s="11">
        <f t="shared" si="7"/>
        <v>50124.4236808237</v>
      </c>
      <c r="K31" s="8"/>
      <c r="L31" s="8"/>
    </row>
    <row r="32" ht="15" customHeight="1" spans="1:16">
      <c r="A32" s="18">
        <f>Data!A15</f>
        <v>45231</v>
      </c>
      <c r="B32" s="8">
        <v>11</v>
      </c>
      <c r="C32" s="11">
        <f>Data!B15</f>
        <v>53662</v>
      </c>
      <c r="D32" s="10">
        <f t="shared" si="2"/>
        <v>11</v>
      </c>
      <c r="E32" s="11">
        <f t="shared" si="3"/>
        <v>49681.5195402299</v>
      </c>
      <c r="F32" s="11">
        <f t="shared" si="4"/>
        <v>49645.1259116259</v>
      </c>
      <c r="G32" s="11">
        <f t="shared" si="5"/>
        <v>3578.59818007663</v>
      </c>
      <c r="H32" s="11">
        <f t="shared" si="6"/>
        <v>2927.6311025311</v>
      </c>
      <c r="I32" s="8"/>
      <c r="J32" s="11">
        <f t="shared" si="7"/>
        <v>52572.757014157</v>
      </c>
      <c r="K32" s="8"/>
      <c r="L32" s="8"/>
    </row>
    <row r="33" ht="15" customHeight="1" spans="1:12">
      <c r="A33" s="18">
        <f>Data!A16</f>
        <v>45261</v>
      </c>
      <c r="B33" s="8">
        <v>12</v>
      </c>
      <c r="C33" s="11">
        <f>Data!B16</f>
        <v>56511</v>
      </c>
      <c r="D33" s="10">
        <f t="shared" si="2"/>
        <v>12</v>
      </c>
      <c r="E33" s="11">
        <f t="shared" si="3"/>
        <v>50356.2781609195</v>
      </c>
      <c r="F33" s="11">
        <f t="shared" si="4"/>
        <v>50349.2017160017</v>
      </c>
      <c r="G33" s="11">
        <f t="shared" si="5"/>
        <v>6832.33955938697</v>
      </c>
      <c r="H33" s="11">
        <f t="shared" si="6"/>
        <v>6140.22196482196</v>
      </c>
      <c r="I33" s="8"/>
      <c r="J33" s="11">
        <f t="shared" si="7"/>
        <v>56489.4236808237</v>
      </c>
      <c r="K33" s="8"/>
      <c r="L33" s="8"/>
    </row>
    <row r="34" ht="15" customHeight="1" spans="1:12">
      <c r="A34" s="18">
        <f>Data!A17</f>
        <v>45292</v>
      </c>
      <c r="B34" s="8">
        <v>13</v>
      </c>
      <c r="C34" s="11">
        <f>Data!B17</f>
        <v>47806</v>
      </c>
      <c r="D34" s="10">
        <f t="shared" si="2"/>
        <v>1</v>
      </c>
      <c r="E34" s="11">
        <f t="shared" si="3"/>
        <v>51031.0367816092</v>
      </c>
      <c r="F34" s="11">
        <f t="shared" si="4"/>
        <v>51053.2775203775</v>
      </c>
      <c r="G34" s="11">
        <f t="shared" si="5"/>
        <v>-3376.70067049809</v>
      </c>
      <c r="H34" s="11">
        <f t="shared" si="6"/>
        <v>-3014.61085371085</v>
      </c>
      <c r="I34" s="8"/>
      <c r="J34" s="11">
        <f t="shared" si="7"/>
        <v>48038.6666666667</v>
      </c>
      <c r="K34" s="8"/>
      <c r="L34" s="8"/>
    </row>
    <row r="35" ht="15" customHeight="1" spans="1:12">
      <c r="A35" s="18">
        <f>Data!A18</f>
        <v>45323</v>
      </c>
      <c r="B35" s="8">
        <v>14</v>
      </c>
      <c r="C35" s="11">
        <f>Data!B18</f>
        <v>48213</v>
      </c>
      <c r="D35" s="10">
        <f t="shared" si="2"/>
        <v>2</v>
      </c>
      <c r="E35" s="11">
        <f t="shared" si="3"/>
        <v>51705.7954022989</v>
      </c>
      <c r="F35" s="11">
        <f t="shared" si="4"/>
        <v>51757.3533247533</v>
      </c>
      <c r="G35" s="11">
        <f t="shared" si="5"/>
        <v>-4388.79262452107</v>
      </c>
      <c r="H35" s="11">
        <f t="shared" si="6"/>
        <v>-4056.01999141999</v>
      </c>
      <c r="I35" s="8"/>
      <c r="J35" s="11">
        <f t="shared" si="7"/>
        <v>47701.3333333333</v>
      </c>
      <c r="K35" s="8"/>
      <c r="L35" s="8"/>
    </row>
    <row r="36" ht="15" customHeight="1" spans="1:12">
      <c r="A36" s="18">
        <f>Data!A19</f>
        <v>45352</v>
      </c>
      <c r="B36" s="8">
        <v>15</v>
      </c>
      <c r="C36" s="11">
        <f>Data!B19</f>
        <v>50683</v>
      </c>
      <c r="D36" s="10">
        <f t="shared" si="2"/>
        <v>3</v>
      </c>
      <c r="E36" s="11">
        <f t="shared" si="3"/>
        <v>52380.5540229885</v>
      </c>
      <c r="F36" s="11">
        <f t="shared" si="4"/>
        <v>52461.4291291291</v>
      </c>
      <c r="G36" s="11">
        <f t="shared" si="5"/>
        <v>-2040.55124521073</v>
      </c>
      <c r="H36" s="11">
        <f t="shared" si="6"/>
        <v>-1737.09579579579</v>
      </c>
      <c r="I36" s="8"/>
      <c r="J36" s="11">
        <f t="shared" si="7"/>
        <v>50724.3333333333</v>
      </c>
      <c r="K36" s="8"/>
      <c r="L36" s="8"/>
    </row>
    <row r="37" ht="15" customHeight="1" spans="1:12">
      <c r="A37" s="18">
        <f>Data!A20</f>
        <v>45383</v>
      </c>
      <c r="B37" s="8">
        <v>16</v>
      </c>
      <c r="C37" s="11">
        <f>Data!B20</f>
        <v>51001</v>
      </c>
      <c r="D37" s="10">
        <f t="shared" si="2"/>
        <v>4</v>
      </c>
      <c r="E37" s="11">
        <f t="shared" si="3"/>
        <v>53055.3126436782</v>
      </c>
      <c r="F37" s="11">
        <f t="shared" si="4"/>
        <v>53165.5049335049</v>
      </c>
      <c r="G37" s="11">
        <f t="shared" si="5"/>
        <v>-2062.30986590038</v>
      </c>
      <c r="H37" s="11">
        <f t="shared" si="6"/>
        <v>-1788.1716001716</v>
      </c>
      <c r="I37" s="8"/>
      <c r="J37" s="11">
        <f t="shared" si="7"/>
        <v>51377.3333333333</v>
      </c>
      <c r="K37" s="8"/>
      <c r="L37" s="8"/>
    </row>
    <row r="38" ht="15" customHeight="1" spans="1:12">
      <c r="A38" s="18">
        <f>Data!A21</f>
        <v>45413</v>
      </c>
      <c r="B38" s="8">
        <v>17</v>
      </c>
      <c r="C38" s="11">
        <f>Data!B21</f>
        <v>54560</v>
      </c>
      <c r="D38" s="10">
        <f t="shared" si="2"/>
        <v>5</v>
      </c>
      <c r="E38" s="11">
        <f t="shared" si="3"/>
        <v>53730.0712643678</v>
      </c>
      <c r="F38" s="11">
        <f t="shared" si="4"/>
        <v>53869.5807378807</v>
      </c>
      <c r="G38" s="11">
        <f t="shared" si="5"/>
        <v>134.264846743291</v>
      </c>
      <c r="H38" s="11">
        <f t="shared" si="6"/>
        <v>379.085928785922</v>
      </c>
      <c r="I38" s="8"/>
      <c r="J38" s="11">
        <f t="shared" si="7"/>
        <v>54248.6666666667</v>
      </c>
      <c r="K38" s="8"/>
      <c r="L38" s="8"/>
    </row>
    <row r="39" ht="15" customHeight="1" spans="1:12">
      <c r="A39" s="18">
        <f>Data!A22</f>
        <v>45444</v>
      </c>
      <c r="B39" s="8">
        <v>18</v>
      </c>
      <c r="C39" s="11">
        <f>Data!B22</f>
        <v>55236</v>
      </c>
      <c r="D39" s="10">
        <f t="shared" si="2"/>
        <v>6</v>
      </c>
      <c r="E39" s="11">
        <f t="shared" si="3"/>
        <v>54404.8298850575</v>
      </c>
      <c r="F39" s="11">
        <f t="shared" si="4"/>
        <v>54573.6565422565</v>
      </c>
      <c r="G39" s="11">
        <f t="shared" si="5"/>
        <v>204.172892720317</v>
      </c>
      <c r="H39" s="11">
        <f t="shared" si="6"/>
        <v>419.676791076783</v>
      </c>
      <c r="I39" s="8"/>
      <c r="J39" s="11">
        <f t="shared" si="7"/>
        <v>54993.3333333333</v>
      </c>
      <c r="K39" s="8"/>
      <c r="L39" s="8"/>
    </row>
    <row r="40" ht="15" customHeight="1" spans="1:12">
      <c r="A40" s="18">
        <f>Data!A23</f>
        <v>45474</v>
      </c>
      <c r="B40" s="8">
        <v>19</v>
      </c>
      <c r="C40" s="11">
        <f>Data!B23</f>
        <v>56752</v>
      </c>
      <c r="D40" s="10">
        <f t="shared" si="2"/>
        <v>7</v>
      </c>
      <c r="E40" s="11">
        <f t="shared" si="3"/>
        <v>55079.5885057471</v>
      </c>
      <c r="F40" s="11">
        <f t="shared" si="4"/>
        <v>55277.7323466324</v>
      </c>
      <c r="G40" s="11">
        <f t="shared" si="5"/>
        <v>1285.13266283524</v>
      </c>
      <c r="H40" s="11">
        <f t="shared" si="6"/>
        <v>1000.26765336765</v>
      </c>
      <c r="I40" s="8"/>
      <c r="J40" s="11">
        <f t="shared" si="7"/>
        <v>56278</v>
      </c>
      <c r="K40" s="8"/>
      <c r="L40" s="8"/>
    </row>
    <row r="41" ht="15" customHeight="1" spans="1:12">
      <c r="A41" s="18">
        <f>Data!A24</f>
        <v>45505</v>
      </c>
      <c r="B41" s="8">
        <v>20</v>
      </c>
      <c r="C41" s="11">
        <f>Data!B24</f>
        <v>54521</v>
      </c>
      <c r="D41" s="10">
        <f t="shared" si="2"/>
        <v>8</v>
      </c>
      <c r="E41" s="11">
        <f t="shared" si="3"/>
        <v>55754.3471264368</v>
      </c>
      <c r="F41" s="11">
        <f t="shared" si="4"/>
        <v>55981.8081510082</v>
      </c>
      <c r="G41" s="11">
        <f t="shared" si="5"/>
        <v>-1594.62595785441</v>
      </c>
      <c r="H41" s="11">
        <f t="shared" si="6"/>
        <v>-591.474817674816</v>
      </c>
      <c r="I41" s="8"/>
      <c r="J41" s="11">
        <f t="shared" si="7"/>
        <v>55390.3333333333</v>
      </c>
      <c r="K41" s="8"/>
      <c r="L41" s="8"/>
    </row>
    <row r="42" ht="15" customHeight="1" spans="1:12">
      <c r="A42" s="18">
        <f>Data!A25</f>
        <v>45536</v>
      </c>
      <c r="B42" s="8">
        <v>21</v>
      </c>
      <c r="C42" s="11">
        <f>Data!B25</f>
        <v>57266</v>
      </c>
      <c r="D42" s="10">
        <f t="shared" si="2"/>
        <v>9</v>
      </c>
      <c r="E42" s="11">
        <f t="shared" si="3"/>
        <v>56429.1057471264</v>
      </c>
      <c r="F42" s="11">
        <f t="shared" si="4"/>
        <v>56685.883955384</v>
      </c>
      <c r="G42" s="11">
        <f t="shared" si="5"/>
        <v>252.615421455938</v>
      </c>
      <c r="H42" s="11">
        <f t="shared" si="6"/>
        <v>-862.883955383955</v>
      </c>
      <c r="I42" s="8"/>
      <c r="J42" s="11">
        <f t="shared" si="7"/>
        <v>55823</v>
      </c>
      <c r="K42" s="8"/>
      <c r="L42" s="8"/>
    </row>
    <row r="43" ht="15" customHeight="1" spans="1:12">
      <c r="A43" s="18">
        <f>Data!A26</f>
        <v>45566</v>
      </c>
      <c r="B43" s="8">
        <v>22</v>
      </c>
      <c r="C43" s="11">
        <f>Data!B26</f>
        <v>58270</v>
      </c>
      <c r="D43" s="10">
        <f t="shared" si="2"/>
        <v>10</v>
      </c>
      <c r="E43" s="11">
        <f t="shared" si="3"/>
        <v>57103.8643678161</v>
      </c>
      <c r="F43" s="11">
        <f t="shared" si="4"/>
        <v>57389.9597597598</v>
      </c>
      <c r="G43" s="11">
        <f t="shared" si="5"/>
        <v>1175.85680076629</v>
      </c>
      <c r="H43" s="11">
        <f t="shared" si="6"/>
        <v>1183.37357357358</v>
      </c>
      <c r="I43" s="8"/>
      <c r="J43" s="11">
        <f t="shared" si="7"/>
        <v>58573.3333333333</v>
      </c>
      <c r="K43" s="8"/>
      <c r="L43" s="8"/>
    </row>
    <row r="44" ht="15" customHeight="1" spans="1:12">
      <c r="A44" s="18">
        <f>Data!A27</f>
        <v>45597</v>
      </c>
      <c r="B44" s="8">
        <v>23</v>
      </c>
      <c r="C44" s="11">
        <f>Data!B27</f>
        <v>61724</v>
      </c>
      <c r="D44" s="10">
        <f t="shared" si="2"/>
        <v>11</v>
      </c>
      <c r="E44" s="11">
        <f t="shared" si="3"/>
        <v>57778.6229885057</v>
      </c>
      <c r="F44" s="11">
        <f t="shared" si="4"/>
        <v>58094.0355641356</v>
      </c>
      <c r="G44" s="11">
        <f t="shared" si="5"/>
        <v>3578.59818007663</v>
      </c>
      <c r="H44" s="11">
        <f t="shared" si="6"/>
        <v>2927.6311025311</v>
      </c>
      <c r="I44" s="8"/>
      <c r="J44" s="11">
        <f t="shared" si="7"/>
        <v>61021.6666666667</v>
      </c>
      <c r="K44" s="8"/>
      <c r="L44" s="8"/>
    </row>
    <row r="45" ht="15" customHeight="1" spans="1:12">
      <c r="A45" s="18">
        <f>Data!A28</f>
        <v>45627</v>
      </c>
      <c r="B45" s="8">
        <v>24</v>
      </c>
      <c r="C45" s="11">
        <f>Data!B28</f>
        <v>66732</v>
      </c>
      <c r="D45" s="10">
        <f t="shared" si="2"/>
        <v>12</v>
      </c>
      <c r="E45" s="11">
        <f t="shared" si="3"/>
        <v>58453.3816091954</v>
      </c>
      <c r="F45" s="11">
        <f t="shared" si="4"/>
        <v>58798.1113685114</v>
      </c>
      <c r="G45" s="11">
        <f t="shared" si="5"/>
        <v>6832.33955938697</v>
      </c>
      <c r="H45" s="11">
        <f t="shared" si="6"/>
        <v>6140.22196482196</v>
      </c>
      <c r="I45" s="8"/>
      <c r="J45" s="11">
        <f t="shared" si="7"/>
        <v>64938.3333333333</v>
      </c>
      <c r="K45" s="8"/>
      <c r="L45" s="8"/>
    </row>
    <row r="46" ht="15" customHeight="1" spans="1:12">
      <c r="A46" s="18">
        <f>Data!A29</f>
        <v>45658</v>
      </c>
      <c r="B46" s="8">
        <v>25</v>
      </c>
      <c r="C46" s="11">
        <f>Data!B29</f>
        <v>55000</v>
      </c>
      <c r="D46" s="10">
        <f t="shared" si="2"/>
        <v>1</v>
      </c>
      <c r="E46" s="11">
        <f t="shared" si="3"/>
        <v>59128.1402298851</v>
      </c>
      <c r="F46" s="11">
        <f t="shared" si="4"/>
        <v>59502.1871728872</v>
      </c>
      <c r="G46" s="11">
        <f t="shared" si="5"/>
        <v>-3376.70067049809</v>
      </c>
      <c r="H46" s="11">
        <f t="shared" si="6"/>
        <v>-3014.61085371085</v>
      </c>
      <c r="I46" s="8"/>
      <c r="J46" s="11">
        <f t="shared" si="7"/>
        <v>56487.5763191763</v>
      </c>
      <c r="K46" s="8"/>
      <c r="L46" s="8"/>
    </row>
    <row r="47" ht="15" customHeight="1" spans="1:12">
      <c r="A47" s="18">
        <f>Data!A30</f>
        <v>45689</v>
      </c>
      <c r="B47" s="8">
        <v>26</v>
      </c>
      <c r="C47" s="11">
        <f>Data!B30</f>
        <v>54704</v>
      </c>
      <c r="D47" s="10">
        <f t="shared" si="2"/>
        <v>2</v>
      </c>
      <c r="E47" s="11">
        <f t="shared" si="3"/>
        <v>59802.8988505747</v>
      </c>
      <c r="F47" s="11">
        <f t="shared" si="4"/>
        <v>60206.262977263</v>
      </c>
      <c r="G47" s="11">
        <f t="shared" si="5"/>
        <v>-4388.79262452107</v>
      </c>
      <c r="H47" s="11">
        <f t="shared" si="6"/>
        <v>-4056.01999141999</v>
      </c>
      <c r="I47" s="8"/>
      <c r="J47" s="11">
        <f t="shared" si="7"/>
        <v>56150.242985843</v>
      </c>
      <c r="K47" s="8"/>
      <c r="L47" s="8"/>
    </row>
    <row r="48" ht="15" customHeight="1" spans="1:12">
      <c r="A48" s="18">
        <f>Data!A31</f>
        <v>45717</v>
      </c>
      <c r="B48" s="8">
        <v>27</v>
      </c>
      <c r="C48" s="11">
        <f>Data!B31</f>
        <v>58304</v>
      </c>
      <c r="D48" s="10">
        <f t="shared" si="2"/>
        <v>3</v>
      </c>
      <c r="E48" s="11">
        <f t="shared" si="3"/>
        <v>60477.6574712644</v>
      </c>
      <c r="F48" s="11">
        <f t="shared" si="4"/>
        <v>60910.3387816388</v>
      </c>
      <c r="G48" s="11">
        <f t="shared" si="5"/>
        <v>-2040.55124521073</v>
      </c>
      <c r="H48" s="11">
        <f t="shared" si="6"/>
        <v>-1737.09579579579</v>
      </c>
      <c r="I48" s="8"/>
      <c r="J48" s="11">
        <f t="shared" si="7"/>
        <v>59173.242985843</v>
      </c>
      <c r="K48" s="8"/>
      <c r="L48" s="8"/>
    </row>
    <row r="49" ht="15" customHeight="1" spans="1:12">
      <c r="A49" s="18">
        <f>Data!A32</f>
        <v>45748</v>
      </c>
      <c r="B49" s="8">
        <v>28</v>
      </c>
      <c r="C49" s="11">
        <f>Data!B32</f>
        <v>57883</v>
      </c>
      <c r="D49" s="10">
        <f t="shared" si="2"/>
        <v>4</v>
      </c>
      <c r="E49" s="11">
        <f t="shared" si="3"/>
        <v>61152.416091954</v>
      </c>
      <c r="F49" s="11">
        <f t="shared" si="4"/>
        <v>61614.4145860146</v>
      </c>
      <c r="G49" s="11">
        <f t="shared" si="5"/>
        <v>-2062.30986590038</v>
      </c>
      <c r="H49" s="11">
        <f t="shared" si="6"/>
        <v>-1788.1716001716</v>
      </c>
      <c r="I49" s="8"/>
      <c r="J49" s="11">
        <f t="shared" si="7"/>
        <v>59826.242985843</v>
      </c>
      <c r="K49" s="8"/>
      <c r="L49" s="8"/>
    </row>
    <row r="50" ht="15" customHeight="1" spans="1:12">
      <c r="A50" s="18">
        <f>Data!A33</f>
        <v>45778</v>
      </c>
      <c r="B50" s="8">
        <v>29</v>
      </c>
      <c r="C50" s="11">
        <f>Data!B33</f>
        <v>62904</v>
      </c>
      <c r="D50" s="10">
        <f t="shared" si="2"/>
        <v>5</v>
      </c>
      <c r="E50" s="11">
        <f t="shared" si="3"/>
        <v>61827.1747126437</v>
      </c>
      <c r="F50" s="11">
        <f t="shared" si="4"/>
        <v>62318.4903903904</v>
      </c>
      <c r="G50" s="11">
        <f t="shared" si="5"/>
        <v>134.264846743291</v>
      </c>
      <c r="H50" s="11">
        <f t="shared" si="6"/>
        <v>379.085928785922</v>
      </c>
      <c r="I50" s="8"/>
      <c r="J50" s="11">
        <f t="shared" si="7"/>
        <v>62697.5763191763</v>
      </c>
      <c r="K50" s="8"/>
      <c r="L50" s="8"/>
    </row>
    <row r="51" ht="15" customHeight="1" spans="1:12">
      <c r="A51" s="18">
        <f>Data!A34</f>
        <v>45809</v>
      </c>
      <c r="B51" s="8">
        <v>30</v>
      </c>
      <c r="C51" s="11">
        <f>Data!B34</f>
        <v>62442</v>
      </c>
      <c r="D51" s="10">
        <f t="shared" si="2"/>
        <v>6</v>
      </c>
      <c r="E51" s="11">
        <f t="shared" si="3"/>
        <v>62501.9333333333</v>
      </c>
      <c r="F51" s="11">
        <f t="shared" si="4"/>
        <v>63022.5661947662</v>
      </c>
      <c r="G51" s="11">
        <f t="shared" si="5"/>
        <v>204.172892720317</v>
      </c>
      <c r="H51" s="11">
        <f t="shared" si="6"/>
        <v>419.676791076783</v>
      </c>
      <c r="I51" s="8"/>
      <c r="J51" s="11">
        <f t="shared" si="7"/>
        <v>63442.242985843</v>
      </c>
      <c r="K51" s="8"/>
      <c r="L51" s="8"/>
    </row>
    <row r="52" ht="15" customHeight="1" spans="1:12">
      <c r="A52" s="18">
        <f>Data!A35</f>
        <v>45839</v>
      </c>
      <c r="B52" s="8">
        <v>31</v>
      </c>
      <c r="C52" s="11">
        <f>Data!B35</f>
        <v>63433</v>
      </c>
      <c r="D52" s="10">
        <f t="shared" si="2"/>
        <v>7</v>
      </c>
      <c r="E52" s="11">
        <f t="shared" si="3"/>
        <v>63176.691954023</v>
      </c>
      <c r="F52" s="11">
        <f t="shared" si="4"/>
        <v>63726.641999142</v>
      </c>
      <c r="G52" s="11">
        <f t="shared" si="5"/>
        <v>1285.13266283524</v>
      </c>
      <c r="H52" s="11">
        <f t="shared" si="6"/>
        <v>1000.26765336765</v>
      </c>
      <c r="I52" s="11">
        <f t="shared" ref="I52:I57" si="8">E52+G52</f>
        <v>64461.8246168582</v>
      </c>
      <c r="J52" s="11">
        <f t="shared" si="7"/>
        <v>64726.9096525097</v>
      </c>
      <c r="K52" s="11">
        <f t="shared" ref="K52:K57" si="9">C52-I52</f>
        <v>-1028.82461685823</v>
      </c>
      <c r="L52" s="19">
        <f t="shared" ref="L52:L57" si="10">ABS(K52)/C52</f>
        <v>0.0162190755105107</v>
      </c>
    </row>
    <row r="53" ht="15" customHeight="1" spans="1:12">
      <c r="A53" s="18">
        <f>Data!A36</f>
        <v>45870</v>
      </c>
      <c r="B53" s="8">
        <v>32</v>
      </c>
      <c r="C53" s="11">
        <f>Data!B36</f>
        <v>65180</v>
      </c>
      <c r="D53" s="10">
        <f t="shared" si="2"/>
        <v>8</v>
      </c>
      <c r="E53" s="11">
        <f t="shared" si="3"/>
        <v>63851.4505747126</v>
      </c>
      <c r="F53" s="11">
        <f t="shared" si="4"/>
        <v>64430.7178035178</v>
      </c>
      <c r="G53" s="11">
        <f t="shared" si="5"/>
        <v>-1594.62595785441</v>
      </c>
      <c r="H53" s="11">
        <f t="shared" si="6"/>
        <v>-591.474817674816</v>
      </c>
      <c r="I53" s="11">
        <f t="shared" si="8"/>
        <v>62256.8246168582</v>
      </c>
      <c r="J53" s="11">
        <f t="shared" si="7"/>
        <v>63839.242985843</v>
      </c>
      <c r="K53" s="11">
        <f t="shared" si="9"/>
        <v>2923.17538314177</v>
      </c>
      <c r="L53" s="19">
        <f t="shared" si="10"/>
        <v>0.0448477352430464</v>
      </c>
    </row>
    <row r="54" ht="15" customHeight="1" spans="1:12">
      <c r="A54" s="18">
        <f>Data!A37</f>
        <v>45901</v>
      </c>
      <c r="B54" s="8">
        <v>33</v>
      </c>
      <c r="C54" s="11">
        <f>Data!B37</f>
        <v>61434</v>
      </c>
      <c r="D54" s="10">
        <f t="shared" si="2"/>
        <v>9</v>
      </c>
      <c r="E54" s="11">
        <f t="shared" si="3"/>
        <v>64526.2091954023</v>
      </c>
      <c r="F54" s="11">
        <f t="shared" si="4"/>
        <v>65134.7936078936</v>
      </c>
      <c r="G54" s="11">
        <f t="shared" si="5"/>
        <v>252.615421455938</v>
      </c>
      <c r="H54" s="11">
        <f t="shared" si="6"/>
        <v>-862.883955383955</v>
      </c>
      <c r="I54" s="11">
        <f t="shared" si="8"/>
        <v>64778.8246168582</v>
      </c>
      <c r="J54" s="11">
        <f t="shared" si="7"/>
        <v>64271.9096525097</v>
      </c>
      <c r="K54" s="11">
        <f t="shared" si="9"/>
        <v>-3344.82461685824</v>
      </c>
      <c r="L54" s="19">
        <f t="shared" si="10"/>
        <v>0.0544458218064629</v>
      </c>
    </row>
    <row r="55" ht="15" customHeight="1" spans="1:12">
      <c r="A55" s="18">
        <f>Data!A38</f>
        <v>45931</v>
      </c>
      <c r="B55" s="8">
        <v>34</v>
      </c>
      <c r="C55" s="11">
        <f>Data!B38</f>
        <v>66489</v>
      </c>
      <c r="D55" s="10">
        <f t="shared" si="2"/>
        <v>10</v>
      </c>
      <c r="E55" s="11">
        <f t="shared" si="3"/>
        <v>65200.967816092</v>
      </c>
      <c r="F55" s="11">
        <f t="shared" si="4"/>
        <v>65838.8694122694</v>
      </c>
      <c r="G55" s="11">
        <f t="shared" si="5"/>
        <v>1175.85680076629</v>
      </c>
      <c r="H55" s="11">
        <f t="shared" si="6"/>
        <v>1183.37357357358</v>
      </c>
      <c r="I55" s="11">
        <f t="shared" si="8"/>
        <v>66376.8246168582</v>
      </c>
      <c r="J55" s="11">
        <f t="shared" si="7"/>
        <v>67022.242985843</v>
      </c>
      <c r="K55" s="11">
        <f t="shared" si="9"/>
        <v>112.175383141759</v>
      </c>
      <c r="L55" s="19">
        <f t="shared" si="10"/>
        <v>0.00168712694042261</v>
      </c>
    </row>
    <row r="56" ht="15" customHeight="1" spans="1:12">
      <c r="A56" s="18">
        <f>Data!A39</f>
        <v>45962</v>
      </c>
      <c r="B56" s="8">
        <v>35</v>
      </c>
      <c r="C56" s="11">
        <f>Data!B39</f>
        <v>67679</v>
      </c>
      <c r="D56" s="10">
        <f t="shared" si="2"/>
        <v>11</v>
      </c>
      <c r="E56" s="11">
        <f t="shared" si="3"/>
        <v>65875.7264367816</v>
      </c>
      <c r="F56" s="11">
        <f t="shared" si="4"/>
        <v>66542.9452166452</v>
      </c>
      <c r="G56" s="11">
        <f t="shared" si="5"/>
        <v>3578.59818007663</v>
      </c>
      <c r="H56" s="11">
        <f t="shared" si="6"/>
        <v>2927.6311025311</v>
      </c>
      <c r="I56" s="11">
        <f t="shared" si="8"/>
        <v>69454.3246168582</v>
      </c>
      <c r="J56" s="11">
        <f t="shared" si="7"/>
        <v>69470.5763191763</v>
      </c>
      <c r="K56" s="11">
        <f t="shared" si="9"/>
        <v>-1775.32461685824</v>
      </c>
      <c r="L56" s="19">
        <f t="shared" si="10"/>
        <v>0.0262315432683438</v>
      </c>
    </row>
    <row r="57" ht="15" customHeight="1" spans="1:12">
      <c r="A57" s="18">
        <f>Data!A40</f>
        <v>45992</v>
      </c>
      <c r="B57" s="8">
        <v>36</v>
      </c>
      <c r="C57" s="11">
        <f>Data!B40</f>
        <v>71572</v>
      </c>
      <c r="D57" s="10">
        <f t="shared" si="2"/>
        <v>12</v>
      </c>
      <c r="E57" s="11">
        <f t="shared" si="3"/>
        <v>66550.4850574713</v>
      </c>
      <c r="F57" s="11">
        <f t="shared" si="4"/>
        <v>67247.021021021</v>
      </c>
      <c r="G57" s="11">
        <f t="shared" si="5"/>
        <v>6832.33955938697</v>
      </c>
      <c r="H57" s="11">
        <f t="shared" si="6"/>
        <v>6140.22196482196</v>
      </c>
      <c r="I57" s="11">
        <f t="shared" si="8"/>
        <v>73382.8246168582</v>
      </c>
      <c r="J57" s="11">
        <f t="shared" si="7"/>
        <v>73387.242985843</v>
      </c>
      <c r="K57" s="11">
        <f t="shared" si="9"/>
        <v>-1810.82461685823</v>
      </c>
      <c r="L57" s="19">
        <f t="shared" si="10"/>
        <v>0.025300740748592</v>
      </c>
    </row>
    <row r="58" ht="15" customHeight="1" spans="1:12">
      <c r="A58" s="18">
        <f t="shared" ref="A58:A69" si="11">EDATE(A57,1)</f>
        <v>46023</v>
      </c>
      <c r="B58" s="8">
        <v>37</v>
      </c>
      <c r="C58" s="8"/>
      <c r="D58" s="10">
        <f t="shared" si="2"/>
        <v>1</v>
      </c>
      <c r="E58" s="11">
        <f t="shared" si="3"/>
        <v>67225.2436781609</v>
      </c>
      <c r="F58" s="11">
        <f t="shared" si="4"/>
        <v>67951.0968253968</v>
      </c>
      <c r="G58" s="11">
        <f t="shared" si="5"/>
        <v>-3376.70067049809</v>
      </c>
      <c r="H58" s="11">
        <f t="shared" si="6"/>
        <v>-3014.61085371085</v>
      </c>
      <c r="I58" s="8"/>
      <c r="J58" s="11">
        <f t="shared" si="7"/>
        <v>64936.485971686</v>
      </c>
      <c r="K58" s="8"/>
      <c r="L58" s="8"/>
    </row>
    <row r="59" ht="15" customHeight="1" spans="1:12">
      <c r="A59" s="18">
        <f t="shared" si="11"/>
        <v>46054</v>
      </c>
      <c r="B59" s="8">
        <v>38</v>
      </c>
      <c r="C59" s="8"/>
      <c r="D59" s="10">
        <f t="shared" si="2"/>
        <v>2</v>
      </c>
      <c r="E59" s="11">
        <f t="shared" si="3"/>
        <v>67900.0022988506</v>
      </c>
      <c r="F59" s="11">
        <f t="shared" si="4"/>
        <v>68655.1726297726</v>
      </c>
      <c r="G59" s="11">
        <f t="shared" si="5"/>
        <v>-4388.79262452107</v>
      </c>
      <c r="H59" s="11">
        <f t="shared" si="6"/>
        <v>-4056.01999141999</v>
      </c>
      <c r="I59" s="8"/>
      <c r="J59" s="11">
        <f t="shared" si="7"/>
        <v>64599.1526383526</v>
      </c>
      <c r="K59" s="8"/>
      <c r="L59" s="8"/>
    </row>
    <row r="60" ht="15" customHeight="1" spans="1:12">
      <c r="A60" s="18">
        <f t="shared" si="11"/>
        <v>46082</v>
      </c>
      <c r="B60" s="8">
        <v>39</v>
      </c>
      <c r="C60" s="8"/>
      <c r="D60" s="10">
        <f t="shared" si="2"/>
        <v>3</v>
      </c>
      <c r="E60" s="11">
        <f t="shared" si="3"/>
        <v>68574.7609195402</v>
      </c>
      <c r="F60" s="11">
        <f t="shared" si="4"/>
        <v>69359.2484341484</v>
      </c>
      <c r="G60" s="11">
        <f t="shared" si="5"/>
        <v>-2040.55124521073</v>
      </c>
      <c r="H60" s="11">
        <f t="shared" si="6"/>
        <v>-1737.09579579579</v>
      </c>
      <c r="I60" s="8"/>
      <c r="J60" s="11">
        <f t="shared" si="7"/>
        <v>67622.1526383527</v>
      </c>
      <c r="K60" s="8"/>
      <c r="L60" s="8"/>
    </row>
    <row r="61" ht="15" customHeight="1" spans="1:12">
      <c r="A61" s="18">
        <f t="shared" si="11"/>
        <v>46113</v>
      </c>
      <c r="B61" s="8">
        <v>40</v>
      </c>
      <c r="C61" s="8"/>
      <c r="D61" s="10">
        <f t="shared" si="2"/>
        <v>4</v>
      </c>
      <c r="E61" s="11">
        <f t="shared" si="3"/>
        <v>69249.5195402299</v>
      </c>
      <c r="F61" s="11">
        <f t="shared" si="4"/>
        <v>70063.3242385242</v>
      </c>
      <c r="G61" s="11">
        <f t="shared" si="5"/>
        <v>-2062.30986590038</v>
      </c>
      <c r="H61" s="11">
        <f t="shared" si="6"/>
        <v>-1788.1716001716</v>
      </c>
      <c r="I61" s="8"/>
      <c r="J61" s="11">
        <f t="shared" si="7"/>
        <v>68275.1526383527</v>
      </c>
      <c r="K61" s="8"/>
      <c r="L61" s="8"/>
    </row>
    <row r="62" ht="15" customHeight="1" spans="1:12">
      <c r="A62" s="18">
        <f t="shared" si="11"/>
        <v>46143</v>
      </c>
      <c r="B62" s="8">
        <v>41</v>
      </c>
      <c r="C62" s="8"/>
      <c r="D62" s="10">
        <f t="shared" si="2"/>
        <v>5</v>
      </c>
      <c r="E62" s="11">
        <f t="shared" si="3"/>
        <v>69924.2781609195</v>
      </c>
      <c r="F62" s="11">
        <f t="shared" si="4"/>
        <v>70767.4000429</v>
      </c>
      <c r="G62" s="11">
        <f t="shared" si="5"/>
        <v>134.264846743291</v>
      </c>
      <c r="H62" s="11">
        <f t="shared" si="6"/>
        <v>379.085928785922</v>
      </c>
      <c r="I62" s="8"/>
      <c r="J62" s="11">
        <f t="shared" si="7"/>
        <v>71146.485971686</v>
      </c>
      <c r="K62" s="8"/>
      <c r="L62" s="8"/>
    </row>
    <row r="63" ht="15" customHeight="1" spans="1:12">
      <c r="A63" s="18">
        <f t="shared" si="11"/>
        <v>46174</v>
      </c>
      <c r="B63" s="8">
        <v>42</v>
      </c>
      <c r="C63" s="8"/>
      <c r="D63" s="10">
        <f t="shared" si="2"/>
        <v>6</v>
      </c>
      <c r="E63" s="11">
        <f t="shared" si="3"/>
        <v>70599.0367816092</v>
      </c>
      <c r="F63" s="11">
        <f t="shared" si="4"/>
        <v>71471.4758472759</v>
      </c>
      <c r="G63" s="11">
        <f t="shared" si="5"/>
        <v>204.172892720317</v>
      </c>
      <c r="H63" s="11">
        <f t="shared" si="6"/>
        <v>419.676791076783</v>
      </c>
      <c r="I63" s="8"/>
      <c r="J63" s="11">
        <f t="shared" si="7"/>
        <v>71891.1526383526</v>
      </c>
      <c r="K63" s="8"/>
      <c r="L63" s="8"/>
    </row>
    <row r="64" ht="15" customHeight="1" spans="1:12">
      <c r="A64" s="18">
        <f t="shared" si="11"/>
        <v>46204</v>
      </c>
      <c r="B64" s="8">
        <v>43</v>
      </c>
      <c r="C64" s="8"/>
      <c r="D64" s="10">
        <f t="shared" si="2"/>
        <v>7</v>
      </c>
      <c r="E64" s="11">
        <f t="shared" si="3"/>
        <v>71273.7954022989</v>
      </c>
      <c r="F64" s="11">
        <f t="shared" si="4"/>
        <v>72175.5516516517</v>
      </c>
      <c r="G64" s="11">
        <f t="shared" si="5"/>
        <v>1285.13266283524</v>
      </c>
      <c r="H64" s="11">
        <f t="shared" si="6"/>
        <v>1000.26765336765</v>
      </c>
      <c r="I64" s="8"/>
      <c r="J64" s="11">
        <f t="shared" si="7"/>
        <v>73175.8193050193</v>
      </c>
      <c r="K64" s="8"/>
      <c r="L64" s="8"/>
    </row>
    <row r="65" ht="15" customHeight="1" spans="1:12">
      <c r="A65" s="18">
        <f t="shared" si="11"/>
        <v>46235</v>
      </c>
      <c r="B65" s="8">
        <v>44</v>
      </c>
      <c r="C65" s="8"/>
      <c r="D65" s="10">
        <f t="shared" si="2"/>
        <v>8</v>
      </c>
      <c r="E65" s="11">
        <f t="shared" si="3"/>
        <v>71948.5540229885</v>
      </c>
      <c r="F65" s="11">
        <f t="shared" si="4"/>
        <v>72879.6274560275</v>
      </c>
      <c r="G65" s="11">
        <f t="shared" si="5"/>
        <v>-1594.62595785441</v>
      </c>
      <c r="H65" s="11">
        <f t="shared" si="6"/>
        <v>-591.474817674816</v>
      </c>
      <c r="I65" s="8"/>
      <c r="J65" s="11">
        <f t="shared" si="7"/>
        <v>72288.1526383527</v>
      </c>
      <c r="K65" s="8"/>
      <c r="L65" s="8"/>
    </row>
    <row r="66" ht="15" customHeight="1" spans="1:12">
      <c r="A66" s="18">
        <f t="shared" si="11"/>
        <v>46266</v>
      </c>
      <c r="B66" s="8">
        <v>45</v>
      </c>
      <c r="C66" s="8"/>
      <c r="D66" s="10">
        <f t="shared" si="2"/>
        <v>9</v>
      </c>
      <c r="E66" s="11">
        <f t="shared" si="3"/>
        <v>72623.3126436782</v>
      </c>
      <c r="F66" s="11">
        <f t="shared" si="4"/>
        <v>73583.7032604033</v>
      </c>
      <c r="G66" s="11">
        <f t="shared" si="5"/>
        <v>252.615421455938</v>
      </c>
      <c r="H66" s="11">
        <f t="shared" si="6"/>
        <v>-862.883955383955</v>
      </c>
      <c r="I66" s="8"/>
      <c r="J66" s="11">
        <f t="shared" si="7"/>
        <v>72720.8193050193</v>
      </c>
      <c r="K66" s="8"/>
      <c r="L66" s="8"/>
    </row>
    <row r="67" ht="15" customHeight="1" spans="1:12">
      <c r="A67" s="18">
        <f t="shared" si="11"/>
        <v>46296</v>
      </c>
      <c r="B67" s="8">
        <v>46</v>
      </c>
      <c r="C67" s="8"/>
      <c r="D67" s="10">
        <f t="shared" si="2"/>
        <v>10</v>
      </c>
      <c r="E67" s="11">
        <f t="shared" si="3"/>
        <v>73298.0712643678</v>
      </c>
      <c r="F67" s="11">
        <f t="shared" si="4"/>
        <v>74287.7790647791</v>
      </c>
      <c r="G67" s="11">
        <f t="shared" si="5"/>
        <v>1175.85680076629</v>
      </c>
      <c r="H67" s="11">
        <f t="shared" si="6"/>
        <v>1183.37357357358</v>
      </c>
      <c r="I67" s="8"/>
      <c r="J67" s="11">
        <f t="shared" si="7"/>
        <v>75471.1526383527</v>
      </c>
      <c r="K67" s="8"/>
      <c r="L67" s="8"/>
    </row>
    <row r="68" ht="15" customHeight="1" spans="1:12">
      <c r="A68" s="18">
        <f t="shared" si="11"/>
        <v>46327</v>
      </c>
      <c r="B68" s="8">
        <v>47</v>
      </c>
      <c r="C68" s="8"/>
      <c r="D68" s="10">
        <f t="shared" si="2"/>
        <v>11</v>
      </c>
      <c r="E68" s="11">
        <f t="shared" si="3"/>
        <v>73972.8298850575</v>
      </c>
      <c r="F68" s="11">
        <f t="shared" si="4"/>
        <v>74991.8548691549</v>
      </c>
      <c r="G68" s="11">
        <f t="shared" si="5"/>
        <v>3578.59818007663</v>
      </c>
      <c r="H68" s="11">
        <f t="shared" si="6"/>
        <v>2927.6311025311</v>
      </c>
      <c r="I68" s="8"/>
      <c r="J68" s="11">
        <f t="shared" si="7"/>
        <v>77919.485971686</v>
      </c>
      <c r="K68" s="8"/>
      <c r="L68" s="8"/>
    </row>
    <row r="69" ht="15" customHeight="1" spans="1:12">
      <c r="A69" s="18">
        <f t="shared" si="11"/>
        <v>46357</v>
      </c>
      <c r="B69" s="8">
        <v>48</v>
      </c>
      <c r="C69" s="8"/>
      <c r="D69" s="10">
        <f t="shared" si="2"/>
        <v>12</v>
      </c>
      <c r="E69" s="11">
        <f t="shared" si="3"/>
        <v>74647.5885057471</v>
      </c>
      <c r="F69" s="11">
        <f t="shared" si="4"/>
        <v>75695.9306735307</v>
      </c>
      <c r="G69" s="11">
        <f t="shared" si="5"/>
        <v>6832.33955938697</v>
      </c>
      <c r="H69" s="11">
        <f t="shared" si="6"/>
        <v>6140.22196482196</v>
      </c>
      <c r="I69" s="8"/>
      <c r="J69" s="11">
        <f t="shared" si="7"/>
        <v>81836.1526383526</v>
      </c>
      <c r="K69" s="8"/>
      <c r="L69" s="8"/>
    </row>
  </sheetData>
  <mergeCells count="2">
    <mergeCell ref="A2:L2"/>
    <mergeCell ref="N4:P4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Data</vt:lpstr>
      <vt:lpstr>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MK</cp:lastModifiedBy>
  <cp:revision>1</cp:revision>
  <dcterms:created xsi:type="dcterms:W3CDTF">2026-09-11T04:29:00Z</dcterms:created>
  <dcterms:modified xsi:type="dcterms:W3CDTF">2026-09-11T04:35:19Z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23C28381690445BA910046B4D3E4BA62_12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